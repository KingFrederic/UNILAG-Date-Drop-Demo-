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<sst xmlns="http://schemas.openxmlformats.org/spreadsheetml/2006/main" count="1237" uniqueCount="525">
  <si>
    <t xml:space="preserve">KDP CATALOG TRACKER  ·  20 Categories × 10 Books = 200 Titles</t>
  </si>
  <si>
    <t xml:space="preserve">Titles are pre-loaded in the Catalog tab. Set each book's Status as you write — this dashboard updates itself. Green = shipped.</t>
  </si>
  <si>
    <t xml:space="preserve">Published:</t>
  </si>
  <si>
    <t xml:space="preserve">of 200</t>
  </si>
  <si>
    <t xml:space="preserve">In progress:</t>
  </si>
  <si>
    <t xml:space="preserve">Not started:</t>
  </si>
  <si>
    <t xml:space="preserve">Overall:</t>
  </si>
  <si>
    <t xml:space="preserve">Category</t>
  </si>
  <si>
    <t xml:space="preserve">Division</t>
  </si>
  <si>
    <t xml:space="preserve">Effort</t>
  </si>
  <si>
    <t xml:space="preserve">Done</t>
  </si>
  <si>
    <t xml:space="preserve">In Prog.</t>
  </si>
  <si>
    <t xml:space="preserve">To Do</t>
  </si>
  <si>
    <t xml:space="preserve">Progress</t>
  </si>
  <si>
    <t xml:space="preserve">Why It Sells</t>
  </si>
  <si>
    <t xml:space="preserve">BSR of Top Titles</t>
  </si>
  <si>
    <t xml:space="preserve">Reviews = crowded above</t>
  </si>
  <si>
    <t xml:space="preserve">Production Tip</t>
  </si>
  <si>
    <t xml:space="preserve">Contemporary &amp; Small-Town Romance</t>
  </si>
  <si>
    <t xml:space="preserve">Fiction</t>
  </si>
  <si>
    <t xml:space="preserve">High</t>
  </si>
  <si>
    <t xml:space="preserve">Romance readers buy 3–5 books/month; series read-through compounds royalties.</t>
  </si>
  <si>
    <t xml:space="preserve">Sub-niche leaders often top ~20k</t>
  </si>
  <si>
    <t xml:space="preserve">200–1,000+</t>
  </si>
  <si>
    <t xml:space="preserve">KU + $4.99; lean on tropes (enemies-to-lovers, fake dating).</t>
  </si>
  <si>
    <t xml:space="preserve">Romantasy</t>
  </si>
  <si>
    <t xml:space="preserve">Outsells traditional fantasy ~3:1; BookTok-driven; readers accept $9.99–14.99.</t>
  </si>
  <si>
    <t xml:space="preserve">Hot — leaders under 3k</t>
  </si>
  <si>
    <t xml:space="preserve">High (500+)</t>
  </si>
  <si>
    <t xml:space="preserve">Fourth Wing lane; longer novels, collector/special-edition culture.</t>
  </si>
  <si>
    <t xml:space="preserve">Dark &amp; Sports Romance</t>
  </si>
  <si>
    <t xml:space="preserve">#DarkRomance ~4.2B views; morally-gray heroes; heavy repeat buying.</t>
  </si>
  <si>
    <t xml:space="preserve">Competitive</t>
  </si>
  <si>
    <t xml:space="preserve">High-heat tropes drive viral discovery.</t>
  </si>
  <si>
    <t xml:space="preserve">Psychological Thrillers</t>
  </si>
  <si>
    <t xml:space="preserve">Dominate Kindle Unlimited 'Most Read'; twist-driven bingeing.</t>
  </si>
  <si>
    <t xml:space="preserve">Spoiler-free twist reveals hook well on TikTok.</t>
  </si>
  <si>
    <t xml:space="preserve">Cozy Mysteries</t>
  </si>
  <si>
    <t xml:space="preserve">Medium–High</t>
  </si>
  <si>
    <t xml:space="preserve">Growing; high series-completion; seasonal Q4 'cozy' peak.</t>
  </si>
  <si>
    <t xml:space="preserve">Moderate</t>
  </si>
  <si>
    <t xml:space="preserve">100–500</t>
  </si>
  <si>
    <t xml:space="preserve">Build a series around one setting/sleuth.</t>
  </si>
  <si>
    <t xml:space="preserve">Sci-Fi &amp; Fantasy</t>
  </si>
  <si>
    <t xml:space="preserve">Binge/series backbone of self-publishing; strong read-through.</t>
  </si>
  <si>
    <t xml:space="preserve">Varies by sub-genre</t>
  </si>
  <si>
    <t xml:space="preserve">Varies</t>
  </si>
  <si>
    <t xml:space="preserve">One release lifts the whole backlist.</t>
  </si>
  <si>
    <t xml:space="preserve">Puzzle Books</t>
  </si>
  <si>
    <t xml:space="preserve">Low-Content</t>
  </si>
  <si>
    <t xml:space="preserve">Low</t>
  </si>
  <si>
    <t xml:space="preserve">Strongest low-content performer; evergreen plus seasonal spikes.</t>
  </si>
  <si>
    <t xml:space="preserve">5k–50k in sub-niche</t>
  </si>
  <si>
    <t xml:space="preserve">50–300</t>
  </si>
  <si>
    <t xml:space="preserve">Niche down (themed sudoku, topic word-search).</t>
  </si>
  <si>
    <t xml:space="preserve">Coloring Books</t>
  </si>
  <si>
    <t xml:space="preserve">Specialty coloring ranks high; strong gift market.</t>
  </si>
  <si>
    <t xml:space="preserve">5k–50k</t>
  </si>
  <si>
    <t xml:space="preserve">Specific theme + specific audience beats generic.</t>
  </si>
  <si>
    <t xml:space="preserve">Prompted Journals</t>
  </si>
  <si>
    <t xml:space="preserve">Journal/planner trend plus genuine emotional utility.</t>
  </si>
  <si>
    <t xml:space="preserve">Pair a Kindle companion to drive discovery.</t>
  </si>
  <si>
    <t xml:space="preserve">Caregiver &amp; Medical Logs</t>
  </si>
  <si>
    <t xml:space="preserve">Medication/symptom trackers for the caregiver &amp; boomer market.</t>
  </si>
  <si>
    <t xml:space="preserve">One clear outcome per book.</t>
  </si>
  <si>
    <t xml:space="preserve">Profession-Specific Notebooks &amp; Logs</t>
  </si>
  <si>
    <t xml:space="preserve">Nurses, truckers, teachers, trades feel 'seen'; hardcover sells at a premium.</t>
  </si>
  <si>
    <t xml:space="preserve">&lt;300</t>
  </si>
  <si>
    <t xml:space="preserve">Try hardcover (~$24.99) for far better royalty.</t>
  </si>
  <si>
    <t xml:space="preserve">Recovery &amp; Mental-Health Journals</t>
  </si>
  <si>
    <t xml:space="preserve">Sobriety trackers, anxiety workbooks, grief journals — steady demand.</t>
  </si>
  <si>
    <t xml:space="preserve">Tie each title to a single outcome.</t>
  </si>
  <si>
    <t xml:space="preserve">Large-Print Puzzles &amp; Planners</t>
  </si>
  <si>
    <t xml:space="preserve">65+ population is growing and underserved.</t>
  </si>
  <si>
    <t xml:space="preserve">Large-print everything — puzzles, planners, coloring.</t>
  </si>
  <si>
    <t xml:space="preserve">Hobby Micro-Niche Logs</t>
  </si>
  <si>
    <t xml:space="preserve">Fishing, birdwatching, gardening — small but loyal buyers.</t>
  </si>
  <si>
    <t xml:space="preserve">Passion-driven; go narrow.</t>
  </si>
  <si>
    <t xml:space="preserve">Pet Log Books</t>
  </si>
  <si>
    <t xml:space="preserve">Dog training, cat health, horse care; owners buy obsessively.</t>
  </si>
  <si>
    <t xml:space="preserve">One animal + one job per book.</t>
  </si>
  <si>
    <t xml:space="preserve">Life-Transition Journals</t>
  </si>
  <si>
    <t xml:space="preserve">Retirement, divorce recovery, grief, new parenthood — emotional pull, low cost.</t>
  </si>
  <si>
    <t xml:space="preserve">Prompts + writing space; add a Kindle companion.</t>
  </si>
  <si>
    <t xml:space="preserve">Memoir &amp; Biography</t>
  </si>
  <si>
    <t xml:space="preserve">Non-Fiction</t>
  </si>
  <si>
    <t xml:space="preserve">~$760M category; real lives outsell fiction; strong gift sales.</t>
  </si>
  <si>
    <t xml:space="preserve">Trauma-to-triumph arcs travel furthest.</t>
  </si>
  <si>
    <t xml:space="preserve">Self-Help &amp; Personal Development</t>
  </si>
  <si>
    <t xml:space="preserve">Medium</t>
  </si>
  <si>
    <t xml:space="preserve">Perennial demand for personal optimization.</t>
  </si>
  <si>
    <t xml:space="preserve">Habit-forming, single-promise angle.</t>
  </si>
  <si>
    <t xml:space="preserve">Business &amp; Money</t>
  </si>
  <si>
    <t xml:space="preserve">Bookkeeping/LLC-tax guides sell yearly; solopreneur finance is hot.</t>
  </si>
  <si>
    <t xml:space="preserve">Refreshes each year as tax law changes.</t>
  </si>
  <si>
    <t xml:space="preserve">Practical AI Guides</t>
  </si>
  <si>
    <t xml:space="preserve">Demand still ahead of competition; readers want practical, not theory.</t>
  </si>
  <si>
    <t xml:space="preserve">Low competition (for now)</t>
  </si>
  <si>
    <t xml:space="preserve">&lt;200</t>
  </si>
  <si>
    <t xml:space="preserve">Moves fast — publish quickly, refresh often.</t>
  </si>
  <si>
    <t xml:space="preserve">TOTAL</t>
  </si>
  <si>
    <t xml:space="preserve">Book #</t>
  </si>
  <si>
    <t xml:space="preserve">Working Title</t>
  </si>
  <si>
    <t xml:space="preserve">Title Strategy</t>
  </si>
  <si>
    <t xml:space="preserve">Status</t>
  </si>
  <si>
    <t xml:space="preserve">Format</t>
  </si>
  <si>
    <t xml:space="preserve">Target Date</t>
  </si>
  <si>
    <t xml:space="preserve">ASIN</t>
  </si>
  <si>
    <t xml:space="preserve">BSR</t>
  </si>
  <si>
    <t xml:space="preserve">Notes</t>
  </si>
  <si>
    <t xml:space="preserve">The Second-Chance Bakery on Maple Street</t>
  </si>
  <si>
    <t xml:space="preserve">Trope: second-chance + place anchor</t>
  </si>
  <si>
    <t xml:space="preserve">Idea</t>
  </si>
  <si>
    <t xml:space="preserve">Snowed In with My Enemy</t>
  </si>
  <si>
    <t xml:space="preserve">Trope: enemies-to-lovers + forced proximity</t>
  </si>
  <si>
    <t xml:space="preserve">Fake Dating the Fire Chief</t>
  </si>
  <si>
    <t xml:space="preserve">Trope: fake dating + swoony hero</t>
  </si>
  <si>
    <t xml:space="preserve">The Inn at Cedar Hollow</t>
  </si>
  <si>
    <t xml:space="preserve">Series anchor: cozy place name</t>
  </si>
  <si>
    <t xml:space="preserve">Grumpy Farmer, Sunshine Baker</t>
  </si>
  <si>
    <t xml:space="preserve">Trope: grumpy-sunshine</t>
  </si>
  <si>
    <t xml:space="preserve">One More Summer in Willow Bay</t>
  </si>
  <si>
    <t xml:space="preserve">Emotional + seasonal place</t>
  </si>
  <si>
    <t xml:space="preserve">The Cowboy's Accidental Bride</t>
  </si>
  <si>
    <t xml:space="preserve">Trope: marriage of convenience</t>
  </si>
  <si>
    <t xml:space="preserve">Coming Home to Honeywood</t>
  </si>
  <si>
    <t xml:space="preserve">Emotional: homecoming hook</t>
  </si>
  <si>
    <t xml:space="preserve">The Christmas We Almost Missed</t>
  </si>
  <si>
    <t xml:space="preserve">Seasonal hook (Q4 sales spike)</t>
  </si>
  <si>
    <t xml:space="preserve">Love Letters from Rosewood Lane</t>
  </si>
  <si>
    <t xml:space="preserve">Curiosity + nostalgic imagery</t>
  </si>
  <si>
    <t xml:space="preserve">A Court of Ash and Oath</t>
  </si>
  <si>
    <t xml:space="preserve">High-concept series title</t>
  </si>
  <si>
    <t xml:space="preserve">The Dragon's Cursed Bride</t>
  </si>
  <si>
    <t xml:space="preserve">Creature hook + cursed trope</t>
  </si>
  <si>
    <t xml:space="preserve">Blade of the Fae King</t>
  </si>
  <si>
    <t xml:space="preserve">Faction/character hook</t>
  </si>
  <si>
    <t xml:space="preserve">Wings of Ember and Ruin</t>
  </si>
  <si>
    <t xml:space="preserve">Evocative dark imagery</t>
  </si>
  <si>
    <t xml:space="preserve">The Shadow That Chose Me</t>
  </si>
  <si>
    <t xml:space="preserve">Curiosity + chosen-one hook</t>
  </si>
  <si>
    <t xml:space="preserve">Bound to the Beast Prince</t>
  </si>
  <si>
    <t xml:space="preserve">Fated-mates / beauty-and-beast trope</t>
  </si>
  <si>
    <t xml:space="preserve">Crown of Thorns and Starlight</t>
  </si>
  <si>
    <t xml:space="preserve">Dark-romantic contrast imagery</t>
  </si>
  <si>
    <t xml:space="preserve">The Academy of Broken Magic</t>
  </si>
  <si>
    <t xml:space="preserve">Dark-academia setting hook</t>
  </si>
  <si>
    <t xml:space="preserve">Kiss of the Winter Court</t>
  </si>
  <si>
    <t xml:space="preserve">Sensory + faction hook</t>
  </si>
  <si>
    <t xml:space="preserve">Daughter of Smoke and Sovereign</t>
  </si>
  <si>
    <t xml:space="preserve">Lineage / epic aspirational</t>
  </si>
  <si>
    <t xml:space="preserve">Sinner's Vow</t>
  </si>
  <si>
    <t xml:space="preserve">Dark, morally-gray, punchy</t>
  </si>
  <si>
    <t xml:space="preserve">Cruel Prince of the Ring</t>
  </si>
  <si>
    <t xml:space="preserve">Dark + boxing niche</t>
  </si>
  <si>
    <t xml:space="preserve">Off-Limits Quarterback</t>
  </si>
  <si>
    <t xml:space="preserve">Sports + forbidden trope</t>
  </si>
  <si>
    <t xml:space="preserve">Bratva's Broken Doll</t>
  </si>
  <si>
    <t xml:space="preserve">Dark mafia + protective trope</t>
  </si>
  <si>
    <t xml:space="preserve">Puck Me, Captain</t>
  </si>
  <si>
    <t xml:space="preserve">Hockey + playful high-heat hook</t>
  </si>
  <si>
    <t xml:space="preserve">The Devil in Lane Four</t>
  </si>
  <si>
    <t xml:space="preserve">Dark + swimming specificity</t>
  </si>
  <si>
    <t xml:space="preserve">Ruthless Vow</t>
  </si>
  <si>
    <t xml:space="preserve">Coach's Forbidden Girl</t>
  </si>
  <si>
    <t xml:space="preserve">Sports + age-gap taboo trope</t>
  </si>
  <si>
    <t xml:space="preserve">King of Concrete</t>
  </si>
  <si>
    <t xml:space="preserve">Dark + MMA niche</t>
  </si>
  <si>
    <t xml:space="preserve">Wicked Games We Play</t>
  </si>
  <si>
    <t xml:space="preserve">Dark intrigue + tension</t>
  </si>
  <si>
    <t xml:space="preserve">The Wife Upstairs Lied</t>
  </si>
  <si>
    <t xml:space="preserve">Domestic twist + curiosity</t>
  </si>
  <si>
    <t xml:space="preserve">She Never Came Home</t>
  </si>
  <si>
    <t xml:space="preserve">Missing-person emotional hook</t>
  </si>
  <si>
    <t xml:space="preserve">The Last Text She Sent</t>
  </si>
  <si>
    <t xml:space="preserve">Modern hook + curiosity</t>
  </si>
  <si>
    <t xml:space="preserve">Don't Believe Her Smile</t>
  </si>
  <si>
    <t xml:space="preserve">Warning + unreliable narrator</t>
  </si>
  <si>
    <t xml:space="preserve">The Neighbor's Secret</t>
  </si>
  <si>
    <t xml:space="preserve">Domestic suspense hook</t>
  </si>
  <si>
    <t xml:space="preserve">What the Nanny Saw</t>
  </si>
  <si>
    <t xml:space="preserve">Witness hook + curiosity</t>
  </si>
  <si>
    <t xml:space="preserve">Every Lie You Told</t>
  </si>
  <si>
    <t xml:space="preserve">Accusatory second-person hook</t>
  </si>
  <si>
    <t xml:space="preserve">The Girl in Room 4B</t>
  </si>
  <si>
    <t xml:space="preserve">Specificity + intrigue</t>
  </si>
  <si>
    <t xml:space="preserve">Before You Read This, She's Gone</t>
  </si>
  <si>
    <t xml:space="preserve">Urgency + twist promise</t>
  </si>
  <si>
    <t xml:space="preserve">The Perfect Marriage Ends at Midnight</t>
  </si>
  <si>
    <t xml:space="preserve">Irony + twist promise</t>
  </si>
  <si>
    <t xml:space="preserve">Murder at the Maple Syrup Festival</t>
  </si>
  <si>
    <t xml:space="preserve">Cozy setting + light pun</t>
  </si>
  <si>
    <t xml:space="preserve">A Latte Trouble at the Corner Cafe</t>
  </si>
  <si>
    <t xml:space="preserve">Pun + coffee-shop series feel</t>
  </si>
  <si>
    <t xml:space="preserve">Death by Blueberry Pie</t>
  </si>
  <si>
    <t xml:space="preserve">Culinary cozy pun</t>
  </si>
  <si>
    <t xml:space="preserve">The Cat Who Solved Christmas</t>
  </si>
  <si>
    <t xml:space="preserve">Pet-sleuth hook + seasonal</t>
  </si>
  <si>
    <t xml:space="preserve">Knit One, Kill Two</t>
  </si>
  <si>
    <t xml:space="preserve">Hobby niche + pun</t>
  </si>
  <si>
    <t xml:space="preserve">A Bookshop Murder in Thistlewick</t>
  </si>
  <si>
    <t xml:space="preserve">Setting + series anchor</t>
  </si>
  <si>
    <t xml:space="preserve">Poisoned Petals at the Flower Show</t>
  </si>
  <si>
    <t xml:space="preserve">Cozy specificity</t>
  </si>
  <si>
    <t xml:space="preserve">The Bakery Sleuth and the Frosted Corpse</t>
  </si>
  <si>
    <t xml:space="preserve">Series anchor + pun</t>
  </si>
  <si>
    <t xml:space="preserve">Tea, Scones, and a Body</t>
  </si>
  <si>
    <t xml:space="preserve">Cozy list hook</t>
  </si>
  <si>
    <t xml:space="preserve">Murder Rents a Cottage by the Sea</t>
  </si>
  <si>
    <t xml:space="preserve">Cozy setting + intrigue</t>
  </si>
  <si>
    <t xml:space="preserve">The Last Starforge</t>
  </si>
  <si>
    <t xml:space="preserve">High-concept + finality hook</t>
  </si>
  <si>
    <t xml:space="preserve">Empire of Broken Suns</t>
  </si>
  <si>
    <t xml:space="preserve">Epic imagery, series feel</t>
  </si>
  <si>
    <t xml:space="preserve">The Cartographer of Dead Worlds</t>
  </si>
  <si>
    <t xml:space="preserve">Curiosity + unusual role</t>
  </si>
  <si>
    <t xml:space="preserve">Ashborn: The Kindling</t>
  </si>
  <si>
    <t xml:space="preserve">Series anchor (book-one feel)</t>
  </si>
  <si>
    <t xml:space="preserve">Where the Void Remembers</t>
  </si>
  <si>
    <t xml:space="preserve">Evocative literary sci-fi</t>
  </si>
  <si>
    <t xml:space="preserve">Heirs of the Fallen Gods</t>
  </si>
  <si>
    <t xml:space="preserve">Lineage / epic fantasy</t>
  </si>
  <si>
    <t xml:space="preserve">The Ninth Gate Protocol</t>
  </si>
  <si>
    <t xml:space="preserve">Number + sci-fi intrigue</t>
  </si>
  <si>
    <t xml:space="preserve">Steel, Salt, and Sorcery</t>
  </si>
  <si>
    <t xml:space="preserve">Genre-blend imagery hook</t>
  </si>
  <si>
    <t xml:space="preserve">The Girl Who Ate the Sun</t>
  </si>
  <si>
    <t xml:space="preserve">Curiosity / myth hook</t>
  </si>
  <si>
    <t xml:space="preserve">Colony Zero: First Light</t>
  </si>
  <si>
    <t xml:space="preserve">Series anchor + number</t>
  </si>
  <si>
    <t xml:space="preserve">Large-Print Sudoku for Seniors: 300 Easy-to-Read Puzzles with Solutions</t>
  </si>
  <si>
    <t xml:space="preserve">Audience + number + keyword</t>
  </si>
  <si>
    <t xml:space="preserve">Brain-Boosting Crosswords for Adults: 100 Puzzles to Sharpen Your Mind</t>
  </si>
  <si>
    <t xml:space="preserve">Benefit + number</t>
  </si>
  <si>
    <t xml:space="preserve">Word Search for Grandparents: 150 Relaxing Large-Print Puzzles</t>
  </si>
  <si>
    <t xml:space="preserve">Audience + keyword</t>
  </si>
  <si>
    <t xml:space="preserve">The 5-Minute Sudoku Challenge: Quick Puzzles for Busy Minds</t>
  </si>
  <si>
    <t xml:space="preserve">Speed / ease hook</t>
  </si>
  <si>
    <t xml:space="preserve">Killer Sudoku for Experts: 200 Hard Puzzles That Fight Back</t>
  </si>
  <si>
    <t xml:space="preserve">Audience (expert) + curiosity</t>
  </si>
  <si>
    <t xml:space="preserve">Travel-Size Word Search: 120 Pocket Puzzles for Planes and Waiting Rooms</t>
  </si>
  <si>
    <t xml:space="preserve">Use-case specificity</t>
  </si>
  <si>
    <t xml:space="preserve">Bible Word Search for Adults: 100 Faith-Filled Puzzles</t>
  </si>
  <si>
    <t xml:space="preserve">Niche audience</t>
  </si>
  <si>
    <t xml:space="preserve">Cryptograms for Clever Minds: 150 Coded Quote Puzzles</t>
  </si>
  <si>
    <t xml:space="preserve">Number + flattery hook</t>
  </si>
  <si>
    <t xml:space="preserve">Number Fill-In Puzzles for Adults: 200 Grids to Keep You Sharp</t>
  </si>
  <si>
    <t xml:space="preserve">Keyword + benefit</t>
  </si>
  <si>
    <t xml:space="preserve">The Ultimate Mixed Puzzle Book: Sudoku, Word Search and Crosswords in One</t>
  </si>
  <si>
    <t xml:space="preserve">Authority / bundle</t>
  </si>
  <si>
    <t xml:space="preserve">Stress-Relief Coloring Book for Adults: 50 Calming Floral Patterns</t>
  </si>
  <si>
    <t xml:space="preserve">Benefit + audience + number</t>
  </si>
  <si>
    <t xml:space="preserve">Bold and Easy Coloring Book for Seniors: Simple Large-Print Designs</t>
  </si>
  <si>
    <t xml:space="preserve">Audience + bold-and-easy trend</t>
  </si>
  <si>
    <t xml:space="preserve">Cozy Autumn Coloring Book: 40 Fall Scenes to Relax and Unwind</t>
  </si>
  <si>
    <t xml:space="preserve">Seasonal + benefit</t>
  </si>
  <si>
    <t xml:space="preserve">Mandala Coloring Book for Beginners: Easy Patterns for Mindful Moments</t>
  </si>
  <si>
    <t xml:space="preserve">Audience + benefit</t>
  </si>
  <si>
    <t xml:space="preserve">Coloring for Anxiety: 45 Soothing Designs to Calm a Busy Mind</t>
  </si>
  <si>
    <t xml:space="preserve">Problem-solve</t>
  </si>
  <si>
    <t xml:space="preserve">The Grumpy Cat Coloring Book: 30 Sassy Feline Designs</t>
  </si>
  <si>
    <t xml:space="preserve">Humor / niche hook</t>
  </si>
  <si>
    <t xml:space="preserve">Ocean Dreams Coloring Book: Underwater Scenes for Relaxation</t>
  </si>
  <si>
    <t xml:space="preserve">Theme + benefit</t>
  </si>
  <si>
    <t xml:space="preserve">Coloring Book for Kids Ages 4-8: 50 Big, Fun Animals to Color</t>
  </si>
  <si>
    <t xml:space="preserve">Audience (age) + number</t>
  </si>
  <si>
    <t xml:space="preserve">Swear Word Coloring Book for Adults: Hilarious Stress Relief</t>
  </si>
  <si>
    <t xml:space="preserve">Humor / proven niche</t>
  </si>
  <si>
    <t xml:space="preserve">Christmas Coloring Book for Adults: 40 Festive Scenes to De-Stress</t>
  </si>
  <si>
    <t xml:space="preserve">The 5-Minute Gratitude Journal: A Daily Practice for a Happier You</t>
  </si>
  <si>
    <t xml:space="preserve">Speed + benefit</t>
  </si>
  <si>
    <t xml:space="preserve">Shadow Work Journal for Beginners: 100 Prompts to Heal and Grow</t>
  </si>
  <si>
    <t xml:space="preserve">Audience + transformation</t>
  </si>
  <si>
    <t xml:space="preserve">The One-Line-a-Day Journal: A 5-Year Memory Keeper</t>
  </si>
  <si>
    <t xml:space="preserve">Format hook + specificity</t>
  </si>
  <si>
    <t xml:space="preserve">Manifestation Journal: Daily Prompts to Attract the Life You Want</t>
  </si>
  <si>
    <t xml:space="preserve">Aspirational</t>
  </si>
  <si>
    <t xml:space="preserve">Couples Journal: 100 Questions to Deepen Your Connection</t>
  </si>
  <si>
    <t xml:space="preserve">Audience + number</t>
  </si>
  <si>
    <t xml:space="preserve">The Anti-Anxiety Journal: Prompts to Quiet Your Mind Tonight</t>
  </si>
  <si>
    <t xml:space="preserve">Problem-solve + urgency</t>
  </si>
  <si>
    <t xml:space="preserve">Prayer Journal for Women: A Guided 90-Day Devotional</t>
  </si>
  <si>
    <t xml:space="preserve">Audience + niche + number</t>
  </si>
  <si>
    <t xml:space="preserve">Self-Discovery Journal: 200 Questions to Understand Who You Are</t>
  </si>
  <si>
    <t xml:space="preserve">Number + curiosity</t>
  </si>
  <si>
    <t xml:space="preserve">The Bedtime Journal for Overthinkers: Wind Down and Sleep Better</t>
  </si>
  <si>
    <t xml:space="preserve">Goal Getter: A 12-Week Journal to Actually Finish What You Start</t>
  </si>
  <si>
    <t xml:space="preserve">Transformation + relatable</t>
  </si>
  <si>
    <t xml:space="preserve">Medication Log Book for Seniors: Daily Tracker for Pills, Doses and Times</t>
  </si>
  <si>
    <t xml:space="preserve">Keyword + audience</t>
  </si>
  <si>
    <t xml:space="preserve">Caregiver Daily Log: Track Meals, Meds, Mood and Appointments</t>
  </si>
  <si>
    <t xml:space="preserve">Benefit + list</t>
  </si>
  <si>
    <t xml:space="preserve">Blood Pressure Log Book: Record and Track Your Readings at Home</t>
  </si>
  <si>
    <t xml:space="preserve">Keyword + use-case</t>
  </si>
  <si>
    <t xml:space="preserve">Blood Sugar Log Book for Diabetics: 2-Year Daily Tracker</t>
  </si>
  <si>
    <t xml:space="preserve">Audience + specificity</t>
  </si>
  <si>
    <t xml:space="preserve">Dementia Care Journal: A Daily Log for Family Caregivers</t>
  </si>
  <si>
    <t xml:space="preserve">Niche + audience</t>
  </si>
  <si>
    <t xml:space="preserve">My Medical History Organizer: One Place for Every Record</t>
  </si>
  <si>
    <t xml:space="preserve">Aspirational benefit</t>
  </si>
  <si>
    <t xml:space="preserve">Symptom Tracker Journal: Spot Patterns and Talk to Your Doctor</t>
  </si>
  <si>
    <t xml:space="preserve">Hospital Stay Companion: Questions, Notes and Daily Logs for Patients</t>
  </si>
  <si>
    <t xml:space="preserve">Use-case</t>
  </si>
  <si>
    <t xml:space="preserve">Weekly Pill Planner Log Book: Never Miss a Dose Again</t>
  </si>
  <si>
    <t xml:space="preserve">Fear-relief benefit</t>
  </si>
  <si>
    <t xml:space="preserve">Elderly Care Record Book: The Complete Daily Log for Home Carers</t>
  </si>
  <si>
    <t xml:space="preserve">Authority + audience</t>
  </si>
  <si>
    <t xml:space="preserve">Nurse Report Sheet Notebook: 100 SBAR Shift Handoff Templates</t>
  </si>
  <si>
    <t xml:space="preserve">Truck Driver Logbook: DOT-Compliant Daily Mileage and Hours Tracker</t>
  </si>
  <si>
    <t xml:space="preserve">Audience + compliance hook</t>
  </si>
  <si>
    <t xml:space="preserve">Teacher Planner and Grade Book: An Undated Academic Year Organizer</t>
  </si>
  <si>
    <t xml:space="preserve">Audience + format</t>
  </si>
  <si>
    <t xml:space="preserve">Electrician's Job Log: Track Sites, Materials and Hours (Hardcover)</t>
  </si>
  <si>
    <t xml:space="preserve">Audience + premium format</t>
  </si>
  <si>
    <t xml:space="preserve">Real Estate Agent Client Tracker: Leads, Showings and Closings</t>
  </si>
  <si>
    <t xml:space="preserve">Audience + list</t>
  </si>
  <si>
    <t xml:space="preserve">Barber and Stylist Appointment Book: Undated Daily Scheduler</t>
  </si>
  <si>
    <t xml:space="preserve">Personal Trainer Client Log: Track Workouts, Progress and Payments</t>
  </si>
  <si>
    <t xml:space="preserve">Freelancer Income and Expense Ledger: Simple Bookkeeping for the Self-Employed</t>
  </si>
  <si>
    <t xml:space="preserve">Mechanic's Repair Log Book: Vehicle, Parts and Labor Tracker</t>
  </si>
  <si>
    <t xml:space="preserve">Notary Public Journal: A Compliant Record Book for 600 Entries</t>
  </si>
  <si>
    <t xml:space="preserve">Audience + number + compliance</t>
  </si>
  <si>
    <t xml:space="preserve">Sobriety Journal: A 90-Day Guide to One Day at a Time</t>
  </si>
  <si>
    <t xml:space="preserve">Number + niche</t>
  </si>
  <si>
    <t xml:space="preserve">Anxiety Workbook for Adults: Daily Tools to Calm Your Mind</t>
  </si>
  <si>
    <t xml:space="preserve">Grief Journal: Gentle Prompts for Life After Loss</t>
  </si>
  <si>
    <t xml:space="preserve">Emotional + niche</t>
  </si>
  <si>
    <t xml:space="preserve">The Depression Recovery Journal: Small Steps Toward Better Days</t>
  </si>
  <si>
    <t xml:space="preserve">Transformation</t>
  </si>
  <si>
    <t xml:space="preserve">CBT Workbook for Beginners: Reframe Negative Thoughts in 10 Minutes a Day</t>
  </si>
  <si>
    <t xml:space="preserve">Audience + speed</t>
  </si>
  <si>
    <t xml:space="preserve">My Sober Year: A Daily Tracker and Reflection Journal</t>
  </si>
  <si>
    <t xml:space="preserve">Format + niche</t>
  </si>
  <si>
    <t xml:space="preserve">Panic Attack Survival Journal: Prompts to Ground You in the Moment</t>
  </si>
  <si>
    <t xml:space="preserve">Healing from Trauma: A Guided Journal for Your Recovery</t>
  </si>
  <si>
    <t xml:space="preserve">The Self-Worth Journal: 100 Prompts to Silence Your Inner Critic</t>
  </si>
  <si>
    <t xml:space="preserve">Number + problem-solve</t>
  </si>
  <si>
    <t xml:space="preserve">Mood Tracker Journal: Chart Your Mental Health One Day at a Time</t>
  </si>
  <si>
    <t xml:space="preserve">Large-Print Crossword Puzzles for Seniors: 100 Easy-to-Read Puzzles</t>
  </si>
  <si>
    <t xml:space="preserve">Audience + keyword + number</t>
  </si>
  <si>
    <t xml:space="preserve">Large-Print Weekly Planner: A Simple Undated Organizer for Older Adults</t>
  </si>
  <si>
    <t xml:space="preserve">Large-Print Word Search for Low Vision: 150 Big-Font Puzzles</t>
  </si>
  <si>
    <t xml:space="preserve">Accessibility audience + number</t>
  </si>
  <si>
    <t xml:space="preserve">Large-Print Address Book: Big Print for Names, Numbers and Emails</t>
  </si>
  <si>
    <t xml:space="preserve">Audience + use-case</t>
  </si>
  <si>
    <t xml:space="preserve">Large-Print Sudoku: 200 Easy Puzzles with Extra-Large Grids</t>
  </si>
  <si>
    <t xml:space="preserve">Number + specificity</t>
  </si>
  <si>
    <t xml:space="preserve">Large-Print Daily Planner for Seniors: Track Appointments and Medications</t>
  </si>
  <si>
    <t xml:space="preserve">Large-Print Password Book: Never Lose a Login Again</t>
  </si>
  <si>
    <t xml:space="preserve">Large-Print Monthly Bill Organizer: Simple Budget Tracker for Seniors</t>
  </si>
  <si>
    <t xml:space="preserve">Large-Print Puzzle Variety Book: Crosswords, Word Search and Sudoku</t>
  </si>
  <si>
    <t xml:space="preserve">Bundle + audience</t>
  </si>
  <si>
    <t xml:space="preserve">Large-Print Gratitude Journal: One Uplifting Prompt a Day</t>
  </si>
  <si>
    <t xml:space="preserve">Fishing Log Book: Record Your Catches, Baits, Spots and Weather</t>
  </si>
  <si>
    <t xml:space="preserve">Niche + list</t>
  </si>
  <si>
    <t xml:space="preserve">Birdwatching Journal: A Life List and Sighting Log for Birders</t>
  </si>
  <si>
    <t xml:space="preserve">Niche + keyword</t>
  </si>
  <si>
    <t xml:space="preserve">Gardening Journal: Plan, Plant and Track Your Garden Season by Season</t>
  </si>
  <si>
    <t xml:space="preserve">Niche + benefit</t>
  </si>
  <si>
    <t xml:space="preserve">Camping Logbook: Record Every Trip, Site and Memory</t>
  </si>
  <si>
    <t xml:space="preserve">Niche + emotional</t>
  </si>
  <si>
    <t xml:space="preserve">Wine Tasting Journal: Rate and Remember Every Bottle You Try</t>
  </si>
  <si>
    <t xml:space="preserve">Hiking Log Book: Track Trails, Miles and Summits</t>
  </si>
  <si>
    <t xml:space="preserve">Coin Collector's Inventory Log: Catalog Your Collection</t>
  </si>
  <si>
    <t xml:space="preserve">Home Brewing Logbook: Track Recipes, Batches and Tasting Notes</t>
  </si>
  <si>
    <t xml:space="preserve">Quilting Project Journal: Plan Patterns, Fabrics and Progress</t>
  </si>
  <si>
    <t xml:space="preserve">Stargazing Journal: An Observation Log for Backyard Astronomers</t>
  </si>
  <si>
    <t xml:space="preserve">Puppy Training Log Book: Track Potty, Commands and Progress</t>
  </si>
  <si>
    <t xml:space="preserve">Niche + specificity</t>
  </si>
  <si>
    <t xml:space="preserve">Cat Health Record Book: Vaccines, Vet Visits and Weight Tracker</t>
  </si>
  <si>
    <t xml:space="preserve">Dog Vaccination Record and Health Log: One Book for Your Dog's Whole Life</t>
  </si>
  <si>
    <t xml:space="preserve">Niche + aspirational</t>
  </si>
  <si>
    <t xml:space="preserve">New Puppy Journal: Milestones, Memories and Training in One Place</t>
  </si>
  <si>
    <t xml:space="preserve">Dog Walking Log for Pet Sitters: Track Walks, Feeds and Notes</t>
  </si>
  <si>
    <t xml:space="preserve">Business audience + list</t>
  </si>
  <si>
    <t xml:space="preserve">Horse Care Journal: Feeding, Farrier, Vet and Riding Log</t>
  </si>
  <si>
    <t xml:space="preserve">Aquarium Maintenance Log: Track Water Tests, Feedings and Cleanings</t>
  </si>
  <si>
    <t xml:space="preserve">Reptile Care Log Book: Feeding, Shedding and Habitat Tracker</t>
  </si>
  <si>
    <t xml:space="preserve">Multiple Dog Household Planner: Feeding and Care for a Busy Pack</t>
  </si>
  <si>
    <t xml:space="preserve">Pet Medication Tracker: Never Miss a Dose or Vet Appointment Again</t>
  </si>
  <si>
    <t xml:space="preserve">Retirement Journal: Prompts to Plan the Next Best Chapter of Your Life</t>
  </si>
  <si>
    <t xml:space="preserve">Divorce Recovery Journal: Rebuild, Heal and Find Yourself Again</t>
  </si>
  <si>
    <t xml:space="preserve">Niche + transformation</t>
  </si>
  <si>
    <t xml:space="preserve">New Baby Journal: A Keepsake for Baby's First Year</t>
  </si>
  <si>
    <t xml:space="preserve">Empty Nest Journal: Rediscovering You After the Kids Leave</t>
  </si>
  <si>
    <t xml:space="preserve">New Mom Journal: Survive the Fourth Trimester One Day at a Time</t>
  </si>
  <si>
    <t xml:space="preserve">Audience + relatable</t>
  </si>
  <si>
    <t xml:space="preserve">Career Change Journal: Prompts to Find Work That Finally Fits</t>
  </si>
  <si>
    <t xml:space="preserve">Widow's Journal: Gentle Prompts for the First Year Alone</t>
  </si>
  <si>
    <t xml:space="preserve">Moving to a New City Journal: Settle In, Explore and Feel at Home</t>
  </si>
  <si>
    <t xml:space="preserve">College Freshman Journal: Prompts for Your First Year Away</t>
  </si>
  <si>
    <t xml:space="preserve">Audience + niche</t>
  </si>
  <si>
    <t xml:space="preserve">Becoming a Dad Journal: A Keepsake for First-Time Fathers</t>
  </si>
  <si>
    <t xml:space="preserve">Audience + emotional</t>
  </si>
  <si>
    <t xml:space="preserve">Still Standing: A Memoir of Loss, Grit, and Starting Over</t>
  </si>
  <si>
    <t xml:space="preserve">Trauma-to-triumph arc</t>
  </si>
  <si>
    <t xml:space="preserve">The Girl from Nowhere: Growing Up Between Two Worlds</t>
  </si>
  <si>
    <t xml:space="preserve">Identity + curiosity</t>
  </si>
  <si>
    <t xml:space="preserve">Unbroken Threads: A Family Story of War and Survival</t>
  </si>
  <si>
    <t xml:space="preserve">Emotional + stakes hook</t>
  </si>
  <si>
    <t xml:space="preserve">Quiet No More: Finding My Voice After Forty Years of Silence</t>
  </si>
  <si>
    <t xml:space="preserve">Transformation + curiosity</t>
  </si>
  <si>
    <t xml:space="preserve">Salt in the Wound: A Memoir of Addiction and Redemption</t>
  </si>
  <si>
    <t xml:space="preserve">The House That Held Us: A Daughter's Memoir</t>
  </si>
  <si>
    <t xml:space="preserve">Emotional + curiosity</t>
  </si>
  <si>
    <t xml:space="preserve">Rebuilt: How I Lost Everything and Found Myself</t>
  </si>
  <si>
    <t xml:space="preserve">Letters I Never Sent: A Memoir in Fragments</t>
  </si>
  <si>
    <t xml:space="preserve">Format hook + intrigue</t>
  </si>
  <si>
    <t xml:space="preserve">Against the Current: One Woman's Journey to Freedom</t>
  </si>
  <si>
    <t xml:space="preserve">The Last Harvest: A Memoir of Land, Family, and Letting Go</t>
  </si>
  <si>
    <t xml:space="preserve">Emotional imagery</t>
  </si>
  <si>
    <t xml:space="preserve">The 30-Day Confidence Reset: Small Habits That Change How You Show Up</t>
  </si>
  <si>
    <t xml:space="preserve">Speed + transformation</t>
  </si>
  <si>
    <t xml:space="preserve">Stop Overthinking: A Simple Guide to Quiet Your Mind and Take Action</t>
  </si>
  <si>
    <t xml:space="preserve">Tiny Wins: How Small Daily Habits Build a Life You Love</t>
  </si>
  <si>
    <t xml:space="preserve">Curiosity + aspirational</t>
  </si>
  <si>
    <t xml:space="preserve">The Discipline Blueprint: Do the Hard Things Even When You Don't Feel Like It</t>
  </si>
  <si>
    <t xml:space="preserve">Authority + relatable</t>
  </si>
  <si>
    <t xml:space="preserve">Unstuck: A Step-by-Step Guide to Finally Move Forward</t>
  </si>
  <si>
    <t xml:space="preserve">The Art of Saying No: Set Boundaries Without the Guilt</t>
  </si>
  <si>
    <t xml:space="preserve">Benefit + problem-solve</t>
  </si>
  <si>
    <t xml:space="preserve">Morning Mastery: Win the First Hour, Win the Day</t>
  </si>
  <si>
    <t xml:space="preserve">From Burnout to Balance: Reclaim Your Energy in 8 Weeks</t>
  </si>
  <si>
    <t xml:space="preserve">Transformation + number</t>
  </si>
  <si>
    <t xml:space="preserve">Think Clearly: 50 Mental Models for Better Decisions</t>
  </si>
  <si>
    <t xml:space="preserve">Number + authority</t>
  </si>
  <si>
    <t xml:space="preserve">The Self-Discipline Handbook for Overthinkers and Procrastinators</t>
  </si>
  <si>
    <t xml:space="preserve">LLC Beginner's Guide 2026: Start, Run and Protect Your Business the Right Way</t>
  </si>
  <si>
    <t xml:space="preserve">Keyword + year + audience</t>
  </si>
  <si>
    <t xml:space="preserve">Bookkeeping for Small Business Owners: The Simple Step-by-Step Guide</t>
  </si>
  <si>
    <t xml:space="preserve">Side Hustle Blueprint: 15 Realistic Ways to Earn $1,000 a Month</t>
  </si>
  <si>
    <t xml:space="preserve">Number + specific outcome</t>
  </si>
  <si>
    <t xml:space="preserve">Personal Finance for Beginners: Budget, Save and Invest with Confidence</t>
  </si>
  <si>
    <t xml:space="preserve">The Freelancer's Tax Guide: Keep More of What You Earn</t>
  </si>
  <si>
    <t xml:space="preserve">Passive Income Playbook: Build Income Streams That Work While You Sleep</t>
  </si>
  <si>
    <t xml:space="preserve">Aspirational + keyword</t>
  </si>
  <si>
    <t xml:space="preserve">Etsy Selling Made Simple: Launch Your Shop and Get Your First 100 Sales</t>
  </si>
  <si>
    <t xml:space="preserve">Niche + specific outcome</t>
  </si>
  <si>
    <t xml:space="preserve">Money Mindset: Break the Habits That Keep You Broke</t>
  </si>
  <si>
    <t xml:space="preserve">Curiosity + problem-solve</t>
  </si>
  <si>
    <t xml:space="preserve">Real Estate Investing for Beginners: Your First Rental Property in 12 Months</t>
  </si>
  <si>
    <t xml:space="preserve">The Solopreneur's Finance Handbook: Manage Money Like a Business of One</t>
  </si>
  <si>
    <t xml:space="preserve">Audience + authority</t>
  </si>
  <si>
    <t xml:space="preserve">ChatGPT for Beginners 2026: Get Real Work Done in Minutes a Day</t>
  </si>
  <si>
    <t xml:space="preserve">Keyword + year + speed</t>
  </si>
  <si>
    <t xml:space="preserve">AI Prompting Made Simple: 200 Copy-and-Paste Prompts That Actually Work</t>
  </si>
  <si>
    <t xml:space="preserve">Number + benefit</t>
  </si>
  <si>
    <t xml:space="preserve">AI Side Hustles: 12 Ways to Earn Money with AI Tools in 2026</t>
  </si>
  <si>
    <t xml:space="preserve">Number + outcome + year</t>
  </si>
  <si>
    <t xml:space="preserve">AI for Small Business Owners: Automate Marketing, Admin and Content</t>
  </si>
  <si>
    <t xml:space="preserve">The Non-Techie's Guide to AI: Understand and Use It Without the Jargon</t>
  </si>
  <si>
    <t xml:space="preserve">Write Faster with AI: A Practical Guide for Bloggers and Authors</t>
  </si>
  <si>
    <t xml:space="preserve">AI at Work: Save 10 Hours a Week with Smart Automation</t>
  </si>
  <si>
    <t xml:space="preserve">Specific outcome</t>
  </si>
  <si>
    <t xml:space="preserve">Midjourney for Beginners: Create Stunning AI Art from Simple Prompts</t>
  </si>
  <si>
    <t xml:space="preserve">Tool niche + audience</t>
  </si>
  <si>
    <t xml:space="preserve">The AI Productivity Playbook: Tools and Workflows for Busy Professionals</t>
  </si>
  <si>
    <t xml:space="preserve">Prompt Engineering for Everyone: Talk to AI and Get Exactly What You Want</t>
  </si>
  <si>
    <t xml:space="preserve">How to use this tracker</t>
  </si>
  <si>
    <t xml:space="preserve">Workflow</t>
  </si>
  <si>
    <t xml:space="preserve">1. Titles are done</t>
  </si>
  <si>
    <t xml:space="preserve">All 200 slots already have a working title and the conversion strategy behind it. Keep, tweak, or swap any of them.</t>
  </si>
  <si>
    <t xml:space="preserve">2. Move it along</t>
  </si>
  <si>
    <t xml:space="preserve">Set Status (column F) via the dropdown: Idea → Researching → Drafting → Editing → Cover → Formatting → Published.</t>
  </si>
  <si>
    <t xml:space="preserve">3. Log live data</t>
  </si>
  <si>
    <t xml:space="preserve">Once a title is live, add Format, Publish Date, ASIN and BSR to see what's working.</t>
  </si>
  <si>
    <t xml:space="preserve">4. Watch the Dashboard</t>
  </si>
  <si>
    <t xml:space="preserve">Per-category Done / In Prog. / To Do and the progress bar recalculate automatically.</t>
  </si>
  <si>
    <t xml:space="preserve">What goes in each Catalog column</t>
  </si>
  <si>
    <t xml:space="preserve">A–C Category / Division / Book #</t>
  </si>
  <si>
    <t xml:space="preserve">Pre-filled — leave as is.</t>
  </si>
  <si>
    <t xml:space="preserve">D Working Title</t>
  </si>
  <si>
    <t xml:space="preserve">Pre-filled. Specific beats broad; keep the searchable keywords near the front.</t>
  </si>
  <si>
    <t xml:space="preserve">E Title Strategy</t>
  </si>
  <si>
    <t xml:space="preserve">The conversion lever the title pulls (curiosity, benefit, number, audience, keyword, trope, etc.). Reference it when you write more.</t>
  </si>
  <si>
    <t xml:space="preserve">F Status</t>
  </si>
  <si>
    <t xml:space="preserve">Dropdown. Only 'Published' counts toward Done on the Dashboard.</t>
  </si>
  <si>
    <t xml:space="preserve">G Format</t>
  </si>
  <si>
    <t xml:space="preserve">Dropdown: eBook, Paperback, Hardcover, or eBook + Paperback. Hardcover often earns a better royalty on premium logs.</t>
  </si>
  <si>
    <t xml:space="preserve">H Target Date</t>
  </si>
  <si>
    <t xml:space="preserve">Deadline while drafting; swap to the actual publish date once live.</t>
  </si>
  <si>
    <t xml:space="preserve">I ASIN</t>
  </si>
  <si>
    <t xml:space="preserve">Amazon's product ID — fill after publishing.</t>
  </si>
  <si>
    <t xml:space="preserve">J BSR</t>
  </si>
  <si>
    <t xml:space="preserve">Best Seller Rank of your own title — track it over time for momentum.</t>
  </si>
  <si>
    <t xml:space="preserve">K Notes</t>
  </si>
  <si>
    <t xml:space="preserve">Trim size, cover A/B tests, keyword ideas, series links — anything.</t>
  </si>
  <si>
    <t xml:space="preserve">The title strategies used (and why they convert)</t>
  </si>
  <si>
    <t xml:space="preserve">Keyword-first</t>
  </si>
  <si>
    <t xml:space="preserve">Front-load the exact phrase shoppers type ('Large-Print Sudoku for Seniors'). Wins the Amazon search box before the sale is ever made.</t>
  </si>
  <si>
    <t xml:space="preserve">Audience call-out</t>
  </si>
  <si>
    <t xml:space="preserve">'for Beginners', 'for Nurses', 'for Seniors' — the reader instantly self-identifies and feels the book is for them.</t>
  </si>
  <si>
    <t xml:space="preserve">Number / quantity</t>
  </si>
  <si>
    <t xml:space="preserve">'200 Puzzles', '100 Prompts', '15 Ways' — concrete value and a scannable promise.</t>
  </si>
  <si>
    <t xml:space="preserve">Specific outcome / benefit</t>
  </si>
  <si>
    <t xml:space="preserve">Name the result: 'Get Your First 100 Sales', 'Sleep Better Tonight'. Sells the transformation, not the object.</t>
  </si>
  <si>
    <t xml:space="preserve">Speed / ease</t>
  </si>
  <si>
    <t xml:space="preserve">'5-Minute', 'in 30 Days', 'Made Simple' — lowers the effort barrier.</t>
  </si>
  <si>
    <t xml:space="preserve">Curiosity / trope hook</t>
  </si>
  <si>
    <t xml:space="preserve">Fiction lever: 'The Wife Upstairs Lied', 'Snowed In with My Enemy' signal genre and tension in a glance.</t>
  </si>
  <si>
    <t xml:space="preserve">Series / place anchor</t>
  </si>
  <si>
    <t xml:space="preserve">Recurring names ('Cedar Hollow', 'Colony Zero') make the Also-Bought engine chain readers from one book to the next.</t>
  </si>
  <si>
    <t xml:space="preserve">Redirect readers between your books (cross-sell levers)</t>
  </si>
  <si>
    <t xml:space="preserve">Series naming</t>
  </si>
  <si>
    <t xml:space="preserve">Titles that share a world/place/number pull buyers down the whole series via Amazon's 'Also Bought' and series page.</t>
  </si>
  <si>
    <t xml:space="preserve">Keyword overlap</t>
  </si>
  <si>
    <t xml:space="preserve">Books in one niche that share core keywords surface together in search and recommendations, feeding each other traffic.</t>
  </si>
  <si>
    <t xml:space="preserve">Kindle + paperback pair</t>
  </si>
  <si>
    <t xml:space="preserve">Publish both formats; the cheaper eBook is discovery bait that leads to the print sale and the rest of the catalog.</t>
  </si>
  <si>
    <t xml:space="preserve">Back-matter links</t>
  </si>
  <si>
    <t xml:space="preserve">End every book with a 'More by this author' page linking your other titles — the single highest-intent ad space you own, and it's free.</t>
  </si>
  <si>
    <t xml:space="preserve">Companion pairing</t>
  </si>
  <si>
    <t xml:space="preserve">A low-content journal + a Kindle companion (or a fiction novella lead-magnet) cross-promote each other inside the same niche.</t>
  </si>
  <si>
    <t xml:space="preserve">Validate a niche before you commit</t>
  </si>
  <si>
    <t xml:space="preserve">Best Seller Rank</t>
  </si>
  <si>
    <t xml:space="preserve">Top titles around BSR 5,000–50,000 signal steady daily sales without brutal competition.</t>
  </si>
  <si>
    <t xml:space="preserve">Review count</t>
  </si>
  <si>
    <t xml:space="preserve">Top 5 all at 1,000+ reviews = crowded; 50–300 = proven demand with room to enter.</t>
  </si>
  <si>
    <t xml:space="preserve">Price floor</t>
  </si>
  <si>
    <t xml:space="preserve">List where royalty is real: roughly $9.99+ paperback, $4.99+ Kindle.</t>
  </si>
  <si>
    <t xml:space="preserve">Series &gt; singles</t>
  </si>
  <si>
    <t xml:space="preserve">Top earners publish a series within one niche — read-through compounds. That's why this is 10-per-category.</t>
  </si>
  <si>
    <t xml:space="preserve">Source &amp; caveat</t>
  </si>
  <si>
    <t xml:space="preserve">Where this came from</t>
  </si>
  <si>
    <t xml:space="preserve">Categories and demand notes draw on KDP-focused market analyses and Amazon Best Seller Rank data compiled by self-publishing blogs and tools, current as of August 2026 — directional, not an official Amazon list. Titles are original, market-style examples; check each against live listings and avoid duplicating an existing book's exact title before you publish.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</si>
</sst>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40507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2"/>
      <color rgb="FFC8991B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EAF0F6"/>
        <bgColor rgb="FFE6F2EA"/>
      </patternFill>
    </fill>
    <fill>
      <patternFill patternType="solid">
        <fgColor rgb="FF2E5077"/>
        <bgColor rgb="FF1F4E79"/>
      </patternFill>
    </fill>
    <fill>
      <patternFill patternType="solid">
        <fgColor rgb="FFFCE8E6"/>
        <bgColor rgb="FFFCE4D6"/>
      </patternFill>
    </fill>
    <fill>
      <patternFill patternType="solid">
        <fgColor rgb="FFE6F2EA"/>
        <bgColor rgb="FFEAF0F6"/>
      </patternFill>
    </fill>
    <fill>
      <patternFill patternType="solid">
        <fgColor rgb="FFEAE6F5"/>
        <bgColor rgb="FFE1EB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7F7F7F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1F3A5F"/>
        <sz val="10"/>
      </font>
      <fill>
        <patternFill>
          <bgColor rgb="FFE1EBF5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833C00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5F497A"/>
        <sz val="10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1F4E79"/>
        <sz val="10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0B6B2E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B6B2E"/>
      <rgbColor rgb="FF000080"/>
      <rgbColor rgb="FF7F6000"/>
      <rgbColor rgb="FF800080"/>
      <rgbColor rgb="FF008080"/>
      <rgbColor rgb="FFB8C4D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EA"/>
      <rgbColor rgb="FFC6EFCE"/>
      <rgbColor rgb="FFFCE8E6"/>
      <rgbColor rgb="FFE1EBF5"/>
      <rgbColor rgb="FFEAF0F6"/>
      <rgbColor rgb="FFEAE6F5"/>
      <rgbColor rgb="FFFCE4D6"/>
      <rgbColor rgb="FF3366FF"/>
      <rgbColor rgb="FF33CCCC"/>
      <rgbColor rgb="FF99CC00"/>
      <rgbColor rgb="FFFFCC00"/>
      <rgbColor rgb="FFC8991B"/>
      <rgbColor rgb="FFFF6600"/>
      <rgbColor rgb="FF5F497A"/>
      <rgbColor rgb="FF7F7F7F"/>
      <rgbColor rgb="FF1F3A5F"/>
      <rgbColor rgb="FF339966"/>
      <rgbColor rgb="FF003300"/>
      <rgbColor rgb="FF40507A"/>
      <rgbColor rgb="FF833C00"/>
      <rgbColor rgb="FF993366"/>
      <rgbColor rgb="FF2E5077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10" min="9" style="0" width="22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4" t="n">
        <f aca="false">COUNTIF(Catalog!$F$2:$F$201,"Published")</f>
        <v>0</v>
      </c>
      <c r="C4" s="5" t="s">
        <v>3</v>
      </c>
      <c r="D4" s="3" t="s">
        <v>4</v>
      </c>
      <c r="E4" s="4" t="n">
        <f aca="false">200-COUNTIF(Catalog!$F$2:$F$201,"Idea")-COUNTIF(Catalog!$F$2:$F$201,"Published")</f>
        <v>0</v>
      </c>
      <c r="F4" s="3" t="s">
        <v>5</v>
      </c>
      <c r="G4" s="4" t="n">
        <f aca="false">COUNTIF(Catalog!$F$2:$F$201,"Idea")</f>
        <v>200</v>
      </c>
      <c r="H4" s="3" t="s">
        <v>6</v>
      </c>
      <c r="I4" s="6" t="n">
        <f aca="false">COUNTIF(Catalog!$F$2:$F$201,"Published")/200</f>
        <v>0</v>
      </c>
    </row>
    <row r="6" customFormat="false" ht="27.75" hidden="false" customHeight="true" outlineLevel="0" collapsed="false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</row>
    <row r="7" customFormat="false" ht="33.75" hidden="false" customHeight="true" outlineLevel="0" collapsed="false">
      <c r="A7" s="8" t="s">
        <v>18</v>
      </c>
      <c r="B7" s="9" t="s">
        <v>19</v>
      </c>
      <c r="C7" s="9" t="s">
        <v>20</v>
      </c>
      <c r="D7" s="9" t="n">
        <f aca="false">COUNTIFS(Catalog!$A$2:$A$201,$A7,Catalog!$F$2:$F$201,"Published")</f>
        <v>0</v>
      </c>
      <c r="E7" s="9" t="n">
        <f aca="false">10-COUNTIFS(Catalog!$A$2:$A$201,$A7,Catalog!$F$2:$F$201,"Idea")-D7</f>
        <v>0</v>
      </c>
      <c r="F7" s="9" t="n">
        <f aca="false">COUNTIFS(Catalog!$A$2:$A$201,$A7,Catalog!$F$2:$F$201,"Idea")</f>
        <v>10</v>
      </c>
      <c r="G7" s="10" t="n">
        <f aca="false">D7/10</f>
        <v>0</v>
      </c>
      <c r="H7" s="11" t="s">
        <v>21</v>
      </c>
      <c r="I7" s="9" t="s">
        <v>22</v>
      </c>
      <c r="J7" s="9" t="s">
        <v>23</v>
      </c>
      <c r="K7" s="11" t="s">
        <v>24</v>
      </c>
    </row>
    <row r="8" customFormat="false" ht="33.75" hidden="false" customHeight="true" outlineLevel="0" collapsed="false">
      <c r="A8" s="8" t="s">
        <v>25</v>
      </c>
      <c r="B8" s="9" t="s">
        <v>19</v>
      </c>
      <c r="C8" s="9" t="s">
        <v>20</v>
      </c>
      <c r="D8" s="9" t="n">
        <f aca="false">COUNTIFS(Catalog!$A$2:$A$201,$A8,Catalog!$F$2:$F$201,"Published")</f>
        <v>0</v>
      </c>
      <c r="E8" s="9" t="n">
        <f aca="false">10-COUNTIFS(Catalog!$A$2:$A$201,$A8,Catalog!$F$2:$F$201,"Idea")-D8</f>
        <v>0</v>
      </c>
      <c r="F8" s="9" t="n">
        <f aca="false">COUNTIFS(Catalog!$A$2:$A$201,$A8,Catalog!$F$2:$F$201,"Idea")</f>
        <v>10</v>
      </c>
      <c r="G8" s="10" t="n">
        <f aca="false">D8/10</f>
        <v>0</v>
      </c>
      <c r="H8" s="11" t="s">
        <v>26</v>
      </c>
      <c r="I8" s="9" t="s">
        <v>27</v>
      </c>
      <c r="J8" s="9" t="s">
        <v>28</v>
      </c>
      <c r="K8" s="11" t="s">
        <v>29</v>
      </c>
    </row>
    <row r="9" customFormat="false" ht="33.75" hidden="false" customHeight="true" outlineLevel="0" collapsed="false">
      <c r="A9" s="8" t="s">
        <v>30</v>
      </c>
      <c r="B9" s="9" t="s">
        <v>19</v>
      </c>
      <c r="C9" s="9" t="s">
        <v>20</v>
      </c>
      <c r="D9" s="9" t="n">
        <f aca="false">COUNTIFS(Catalog!$A$2:$A$201,$A9,Catalog!$F$2:$F$201,"Published")</f>
        <v>0</v>
      </c>
      <c r="E9" s="9" t="n">
        <f aca="false">10-COUNTIFS(Catalog!$A$2:$A$201,$A9,Catalog!$F$2:$F$201,"Idea")-D9</f>
        <v>0</v>
      </c>
      <c r="F9" s="9" t="n">
        <f aca="false">COUNTIFS(Catalog!$A$2:$A$201,$A9,Catalog!$F$2:$F$201,"Idea")</f>
        <v>10</v>
      </c>
      <c r="G9" s="10" t="n">
        <f aca="false">D9/10</f>
        <v>0</v>
      </c>
      <c r="H9" s="11" t="s">
        <v>31</v>
      </c>
      <c r="I9" s="9" t="s">
        <v>32</v>
      </c>
      <c r="J9" s="9" t="s">
        <v>20</v>
      </c>
      <c r="K9" s="11" t="s">
        <v>33</v>
      </c>
    </row>
    <row r="10" customFormat="false" ht="33.75" hidden="false" customHeight="true" outlineLevel="0" collapsed="false">
      <c r="A10" s="8" t="s">
        <v>34</v>
      </c>
      <c r="B10" s="9" t="s">
        <v>19</v>
      </c>
      <c r="C10" s="9" t="s">
        <v>20</v>
      </c>
      <c r="D10" s="9" t="n">
        <f aca="false">COUNTIFS(Catalog!$A$2:$A$201,$A10,Catalog!$F$2:$F$201,"Published")</f>
        <v>0</v>
      </c>
      <c r="E10" s="9" t="n">
        <f aca="false">10-COUNTIFS(Catalog!$A$2:$A$201,$A10,Catalog!$F$2:$F$201,"Idea")-D10</f>
        <v>0</v>
      </c>
      <c r="F10" s="9" t="n">
        <f aca="false">COUNTIFS(Catalog!$A$2:$A$201,$A10,Catalog!$F$2:$F$201,"Idea")</f>
        <v>10</v>
      </c>
      <c r="G10" s="10" t="n">
        <f aca="false">D10/10</f>
        <v>0</v>
      </c>
      <c r="H10" s="11" t="s">
        <v>35</v>
      </c>
      <c r="I10" s="9" t="s">
        <v>32</v>
      </c>
      <c r="J10" s="9" t="s">
        <v>20</v>
      </c>
      <c r="K10" s="11" t="s">
        <v>36</v>
      </c>
    </row>
    <row r="11" customFormat="false" ht="33.75" hidden="false" customHeight="true" outlineLevel="0" collapsed="false">
      <c r="A11" s="8" t="s">
        <v>37</v>
      </c>
      <c r="B11" s="9" t="s">
        <v>19</v>
      </c>
      <c r="C11" s="9" t="s">
        <v>38</v>
      </c>
      <c r="D11" s="9" t="n">
        <f aca="false">COUNTIFS(Catalog!$A$2:$A$201,$A11,Catalog!$F$2:$F$201,"Published")</f>
        <v>0</v>
      </c>
      <c r="E11" s="9" t="n">
        <f aca="false">10-COUNTIFS(Catalog!$A$2:$A$201,$A11,Catalog!$F$2:$F$201,"Idea")-D11</f>
        <v>0</v>
      </c>
      <c r="F11" s="9" t="n">
        <f aca="false">COUNTIFS(Catalog!$A$2:$A$201,$A11,Catalog!$F$2:$F$201,"Idea")</f>
        <v>10</v>
      </c>
      <c r="G11" s="10" t="n">
        <f aca="false">D11/10</f>
        <v>0</v>
      </c>
      <c r="H11" s="11" t="s">
        <v>39</v>
      </c>
      <c r="I11" s="9" t="s">
        <v>40</v>
      </c>
      <c r="J11" s="9" t="s">
        <v>41</v>
      </c>
      <c r="K11" s="11" t="s">
        <v>42</v>
      </c>
    </row>
    <row r="12" customFormat="false" ht="33.75" hidden="false" customHeight="true" outlineLevel="0" collapsed="false">
      <c r="A12" s="8" t="s">
        <v>43</v>
      </c>
      <c r="B12" s="9" t="s">
        <v>19</v>
      </c>
      <c r="C12" s="9" t="s">
        <v>20</v>
      </c>
      <c r="D12" s="9" t="n">
        <f aca="false">COUNTIFS(Catalog!$A$2:$A$201,$A12,Catalog!$F$2:$F$201,"Published")</f>
        <v>0</v>
      </c>
      <c r="E12" s="9" t="n">
        <f aca="false">10-COUNTIFS(Catalog!$A$2:$A$201,$A12,Catalog!$F$2:$F$201,"Idea")-D12</f>
        <v>0</v>
      </c>
      <c r="F12" s="9" t="n">
        <f aca="false">COUNTIFS(Catalog!$A$2:$A$201,$A12,Catalog!$F$2:$F$201,"Idea")</f>
        <v>10</v>
      </c>
      <c r="G12" s="10" t="n">
        <f aca="false">D12/10</f>
        <v>0</v>
      </c>
      <c r="H12" s="11" t="s">
        <v>44</v>
      </c>
      <c r="I12" s="9" t="s">
        <v>45</v>
      </c>
      <c r="J12" s="9" t="s">
        <v>46</v>
      </c>
      <c r="K12" s="11" t="s">
        <v>47</v>
      </c>
    </row>
    <row r="13" customFormat="false" ht="33.75" hidden="false" customHeight="true" outlineLevel="0" collapsed="false">
      <c r="A13" s="12" t="s">
        <v>48</v>
      </c>
      <c r="B13" s="9" t="s">
        <v>49</v>
      </c>
      <c r="C13" s="9" t="s">
        <v>50</v>
      </c>
      <c r="D13" s="9" t="n">
        <f aca="false">COUNTIFS(Catalog!$A$2:$A$201,$A13,Catalog!$F$2:$F$201,"Published")</f>
        <v>0</v>
      </c>
      <c r="E13" s="9" t="n">
        <f aca="false">10-COUNTIFS(Catalog!$A$2:$A$201,$A13,Catalog!$F$2:$F$201,"Idea")-D13</f>
        <v>0</v>
      </c>
      <c r="F13" s="9" t="n">
        <f aca="false">COUNTIFS(Catalog!$A$2:$A$201,$A13,Catalog!$F$2:$F$201,"Idea")</f>
        <v>10</v>
      </c>
      <c r="G13" s="10" t="n">
        <f aca="false">D13/10</f>
        <v>0</v>
      </c>
      <c r="H13" s="11" t="s">
        <v>51</v>
      </c>
      <c r="I13" s="9" t="s">
        <v>52</v>
      </c>
      <c r="J13" s="9" t="s">
        <v>53</v>
      </c>
      <c r="K13" s="11" t="s">
        <v>54</v>
      </c>
    </row>
    <row r="14" customFormat="false" ht="33.75" hidden="false" customHeight="true" outlineLevel="0" collapsed="false">
      <c r="A14" s="12" t="s">
        <v>55</v>
      </c>
      <c r="B14" s="9" t="s">
        <v>49</v>
      </c>
      <c r="C14" s="9" t="s">
        <v>50</v>
      </c>
      <c r="D14" s="9" t="n">
        <f aca="false">COUNTIFS(Catalog!$A$2:$A$201,$A14,Catalog!$F$2:$F$201,"Published")</f>
        <v>0</v>
      </c>
      <c r="E14" s="9" t="n">
        <f aca="false">10-COUNTIFS(Catalog!$A$2:$A$201,$A14,Catalog!$F$2:$F$201,"Idea")-D14</f>
        <v>0</v>
      </c>
      <c r="F14" s="9" t="n">
        <f aca="false">COUNTIFS(Catalog!$A$2:$A$201,$A14,Catalog!$F$2:$F$201,"Idea")</f>
        <v>10</v>
      </c>
      <c r="G14" s="10" t="n">
        <f aca="false">D14/10</f>
        <v>0</v>
      </c>
      <c r="H14" s="11" t="s">
        <v>56</v>
      </c>
      <c r="I14" s="9" t="s">
        <v>57</v>
      </c>
      <c r="J14" s="9" t="s">
        <v>53</v>
      </c>
      <c r="K14" s="11" t="s">
        <v>58</v>
      </c>
    </row>
    <row r="15" customFormat="false" ht="33.75" hidden="false" customHeight="true" outlineLevel="0" collapsed="false">
      <c r="A15" s="12" t="s">
        <v>59</v>
      </c>
      <c r="B15" s="9" t="s">
        <v>49</v>
      </c>
      <c r="C15" s="9" t="s">
        <v>50</v>
      </c>
      <c r="D15" s="9" t="n">
        <f aca="false">COUNTIFS(Catalog!$A$2:$A$201,$A15,Catalog!$F$2:$F$201,"Published")</f>
        <v>0</v>
      </c>
      <c r="E15" s="9" t="n">
        <f aca="false">10-COUNTIFS(Catalog!$A$2:$A$201,$A15,Catalog!$F$2:$F$201,"Idea")-D15</f>
        <v>0</v>
      </c>
      <c r="F15" s="9" t="n">
        <f aca="false">COUNTIFS(Catalog!$A$2:$A$201,$A15,Catalog!$F$2:$F$201,"Idea")</f>
        <v>10</v>
      </c>
      <c r="G15" s="10" t="n">
        <f aca="false">D15/10</f>
        <v>0</v>
      </c>
      <c r="H15" s="11" t="s">
        <v>60</v>
      </c>
      <c r="I15" s="9" t="s">
        <v>57</v>
      </c>
      <c r="J15" s="9" t="s">
        <v>53</v>
      </c>
      <c r="K15" s="11" t="s">
        <v>61</v>
      </c>
    </row>
    <row r="16" customFormat="false" ht="33.75" hidden="false" customHeight="true" outlineLevel="0" collapsed="false">
      <c r="A16" s="12" t="s">
        <v>62</v>
      </c>
      <c r="B16" s="9" t="s">
        <v>49</v>
      </c>
      <c r="C16" s="9" t="s">
        <v>50</v>
      </c>
      <c r="D16" s="9" t="n">
        <f aca="false">COUNTIFS(Catalog!$A$2:$A$201,$A16,Catalog!$F$2:$F$201,"Published")</f>
        <v>0</v>
      </c>
      <c r="E16" s="9" t="n">
        <f aca="false">10-COUNTIFS(Catalog!$A$2:$A$201,$A16,Catalog!$F$2:$F$201,"Idea")-D16</f>
        <v>0</v>
      </c>
      <c r="F16" s="9" t="n">
        <f aca="false">COUNTIFS(Catalog!$A$2:$A$201,$A16,Catalog!$F$2:$F$201,"Idea")</f>
        <v>10</v>
      </c>
      <c r="G16" s="10" t="n">
        <f aca="false">D16/10</f>
        <v>0</v>
      </c>
      <c r="H16" s="11" t="s">
        <v>63</v>
      </c>
      <c r="I16" s="9" t="s">
        <v>57</v>
      </c>
      <c r="J16" s="9" t="s">
        <v>53</v>
      </c>
      <c r="K16" s="11" t="s">
        <v>64</v>
      </c>
    </row>
    <row r="17" customFormat="false" ht="33.75" hidden="false" customHeight="true" outlineLevel="0" collapsed="false">
      <c r="A17" s="12" t="s">
        <v>65</v>
      </c>
      <c r="B17" s="9" t="s">
        <v>49</v>
      </c>
      <c r="C17" s="9" t="s">
        <v>50</v>
      </c>
      <c r="D17" s="9" t="n">
        <f aca="false">COUNTIFS(Catalog!$A$2:$A$201,$A17,Catalog!$F$2:$F$201,"Published")</f>
        <v>0</v>
      </c>
      <c r="E17" s="9" t="n">
        <f aca="false">10-COUNTIFS(Catalog!$A$2:$A$201,$A17,Catalog!$F$2:$F$201,"Idea")-D17</f>
        <v>0</v>
      </c>
      <c r="F17" s="9" t="n">
        <f aca="false">COUNTIFS(Catalog!$A$2:$A$201,$A17,Catalog!$F$2:$F$201,"Idea")</f>
        <v>10</v>
      </c>
      <c r="G17" s="10" t="n">
        <f aca="false">D17/10</f>
        <v>0</v>
      </c>
      <c r="H17" s="11" t="s">
        <v>66</v>
      </c>
      <c r="I17" s="9" t="s">
        <v>57</v>
      </c>
      <c r="J17" s="9" t="s">
        <v>67</v>
      </c>
      <c r="K17" s="11" t="s">
        <v>68</v>
      </c>
    </row>
    <row r="18" customFormat="false" ht="33.75" hidden="false" customHeight="true" outlineLevel="0" collapsed="false">
      <c r="A18" s="12" t="s">
        <v>69</v>
      </c>
      <c r="B18" s="9" t="s">
        <v>49</v>
      </c>
      <c r="C18" s="9" t="s">
        <v>50</v>
      </c>
      <c r="D18" s="9" t="n">
        <f aca="false">COUNTIFS(Catalog!$A$2:$A$201,$A18,Catalog!$F$2:$F$201,"Published")</f>
        <v>0</v>
      </c>
      <c r="E18" s="9" t="n">
        <f aca="false">10-COUNTIFS(Catalog!$A$2:$A$201,$A18,Catalog!$F$2:$F$201,"Idea")-D18</f>
        <v>0</v>
      </c>
      <c r="F18" s="9" t="n">
        <f aca="false">COUNTIFS(Catalog!$A$2:$A$201,$A18,Catalog!$F$2:$F$201,"Idea")</f>
        <v>10</v>
      </c>
      <c r="G18" s="10" t="n">
        <f aca="false">D18/10</f>
        <v>0</v>
      </c>
      <c r="H18" s="11" t="s">
        <v>70</v>
      </c>
      <c r="I18" s="9" t="s">
        <v>57</v>
      </c>
      <c r="J18" s="9" t="s">
        <v>53</v>
      </c>
      <c r="K18" s="11" t="s">
        <v>71</v>
      </c>
    </row>
    <row r="19" customFormat="false" ht="33.75" hidden="false" customHeight="true" outlineLevel="0" collapsed="false">
      <c r="A19" s="12" t="s">
        <v>72</v>
      </c>
      <c r="B19" s="9" t="s">
        <v>49</v>
      </c>
      <c r="C19" s="9" t="s">
        <v>50</v>
      </c>
      <c r="D19" s="9" t="n">
        <f aca="false">COUNTIFS(Catalog!$A$2:$A$201,$A19,Catalog!$F$2:$F$201,"Published")</f>
        <v>0</v>
      </c>
      <c r="E19" s="9" t="n">
        <f aca="false">10-COUNTIFS(Catalog!$A$2:$A$201,$A19,Catalog!$F$2:$F$201,"Idea")-D19</f>
        <v>0</v>
      </c>
      <c r="F19" s="9" t="n">
        <f aca="false">COUNTIFS(Catalog!$A$2:$A$201,$A19,Catalog!$F$2:$F$201,"Idea")</f>
        <v>10</v>
      </c>
      <c r="G19" s="10" t="n">
        <f aca="false">D19/10</f>
        <v>0</v>
      </c>
      <c r="H19" s="11" t="s">
        <v>73</v>
      </c>
      <c r="I19" s="9" t="s">
        <v>57</v>
      </c>
      <c r="J19" s="9" t="s">
        <v>53</v>
      </c>
      <c r="K19" s="11" t="s">
        <v>74</v>
      </c>
    </row>
    <row r="20" customFormat="false" ht="33.75" hidden="false" customHeight="true" outlineLevel="0" collapsed="false">
      <c r="A20" s="12" t="s">
        <v>75</v>
      </c>
      <c r="B20" s="9" t="s">
        <v>49</v>
      </c>
      <c r="C20" s="9" t="s">
        <v>50</v>
      </c>
      <c r="D20" s="9" t="n">
        <f aca="false">COUNTIFS(Catalog!$A$2:$A$201,$A20,Catalog!$F$2:$F$201,"Published")</f>
        <v>0</v>
      </c>
      <c r="E20" s="9" t="n">
        <f aca="false">10-COUNTIFS(Catalog!$A$2:$A$201,$A20,Catalog!$F$2:$F$201,"Idea")-D20</f>
        <v>0</v>
      </c>
      <c r="F20" s="9" t="n">
        <f aca="false">COUNTIFS(Catalog!$A$2:$A$201,$A20,Catalog!$F$2:$F$201,"Idea")</f>
        <v>10</v>
      </c>
      <c r="G20" s="10" t="n">
        <f aca="false">D20/10</f>
        <v>0</v>
      </c>
      <c r="H20" s="11" t="s">
        <v>76</v>
      </c>
      <c r="I20" s="9" t="s">
        <v>57</v>
      </c>
      <c r="J20" s="9" t="s">
        <v>67</v>
      </c>
      <c r="K20" s="11" t="s">
        <v>77</v>
      </c>
    </row>
    <row r="21" customFormat="false" ht="33.75" hidden="false" customHeight="true" outlineLevel="0" collapsed="false">
      <c r="A21" s="12" t="s">
        <v>78</v>
      </c>
      <c r="B21" s="9" t="s">
        <v>49</v>
      </c>
      <c r="C21" s="9" t="s">
        <v>50</v>
      </c>
      <c r="D21" s="9" t="n">
        <f aca="false">COUNTIFS(Catalog!$A$2:$A$201,$A21,Catalog!$F$2:$F$201,"Published")</f>
        <v>0</v>
      </c>
      <c r="E21" s="9" t="n">
        <f aca="false">10-COUNTIFS(Catalog!$A$2:$A$201,$A21,Catalog!$F$2:$F$201,"Idea")-D21</f>
        <v>0</v>
      </c>
      <c r="F21" s="9" t="n">
        <f aca="false">COUNTIFS(Catalog!$A$2:$A$201,$A21,Catalog!$F$2:$F$201,"Idea")</f>
        <v>10</v>
      </c>
      <c r="G21" s="10" t="n">
        <f aca="false">D21/10</f>
        <v>0</v>
      </c>
      <c r="H21" s="11" t="s">
        <v>79</v>
      </c>
      <c r="I21" s="9" t="s">
        <v>57</v>
      </c>
      <c r="J21" s="9" t="s">
        <v>53</v>
      </c>
      <c r="K21" s="11" t="s">
        <v>80</v>
      </c>
    </row>
    <row r="22" customFormat="false" ht="33.75" hidden="false" customHeight="true" outlineLevel="0" collapsed="false">
      <c r="A22" s="12" t="s">
        <v>81</v>
      </c>
      <c r="B22" s="9" t="s">
        <v>49</v>
      </c>
      <c r="C22" s="9" t="s">
        <v>50</v>
      </c>
      <c r="D22" s="9" t="n">
        <f aca="false">COUNTIFS(Catalog!$A$2:$A$201,$A22,Catalog!$F$2:$F$201,"Published")</f>
        <v>0</v>
      </c>
      <c r="E22" s="9" t="n">
        <f aca="false">10-COUNTIFS(Catalog!$A$2:$A$201,$A22,Catalog!$F$2:$F$201,"Idea")-D22</f>
        <v>0</v>
      </c>
      <c r="F22" s="9" t="n">
        <f aca="false">COUNTIFS(Catalog!$A$2:$A$201,$A22,Catalog!$F$2:$F$201,"Idea")</f>
        <v>10</v>
      </c>
      <c r="G22" s="10" t="n">
        <f aca="false">D22/10</f>
        <v>0</v>
      </c>
      <c r="H22" s="11" t="s">
        <v>82</v>
      </c>
      <c r="I22" s="9" t="s">
        <v>57</v>
      </c>
      <c r="J22" s="9" t="s">
        <v>53</v>
      </c>
      <c r="K22" s="11" t="s">
        <v>83</v>
      </c>
    </row>
    <row r="23" customFormat="false" ht="33.75" hidden="false" customHeight="true" outlineLevel="0" collapsed="false">
      <c r="A23" s="13" t="s">
        <v>84</v>
      </c>
      <c r="B23" s="9" t="s">
        <v>85</v>
      </c>
      <c r="C23" s="9" t="s">
        <v>38</v>
      </c>
      <c r="D23" s="9" t="n">
        <f aca="false">COUNTIFS(Catalog!$A$2:$A$201,$A23,Catalog!$F$2:$F$201,"Published")</f>
        <v>0</v>
      </c>
      <c r="E23" s="9" t="n">
        <f aca="false">10-COUNTIFS(Catalog!$A$2:$A$201,$A23,Catalog!$F$2:$F$201,"Idea")-D23</f>
        <v>0</v>
      </c>
      <c r="F23" s="9" t="n">
        <f aca="false">COUNTIFS(Catalog!$A$2:$A$201,$A23,Catalog!$F$2:$F$201,"Idea")</f>
        <v>10</v>
      </c>
      <c r="G23" s="10" t="n">
        <f aca="false">D23/10</f>
        <v>0</v>
      </c>
      <c r="H23" s="11" t="s">
        <v>86</v>
      </c>
      <c r="I23" s="9" t="s">
        <v>46</v>
      </c>
      <c r="J23" s="9" t="s">
        <v>46</v>
      </c>
      <c r="K23" s="11" t="s">
        <v>87</v>
      </c>
    </row>
    <row r="24" customFormat="false" ht="33.75" hidden="false" customHeight="true" outlineLevel="0" collapsed="false">
      <c r="A24" s="13" t="s">
        <v>88</v>
      </c>
      <c r="B24" s="9" t="s">
        <v>85</v>
      </c>
      <c r="C24" s="9" t="s">
        <v>89</v>
      </c>
      <c r="D24" s="9" t="n">
        <f aca="false">COUNTIFS(Catalog!$A$2:$A$201,$A24,Catalog!$F$2:$F$201,"Published")</f>
        <v>0</v>
      </c>
      <c r="E24" s="9" t="n">
        <f aca="false">10-COUNTIFS(Catalog!$A$2:$A$201,$A24,Catalog!$F$2:$F$201,"Idea")-D24</f>
        <v>0</v>
      </c>
      <c r="F24" s="9" t="n">
        <f aca="false">COUNTIFS(Catalog!$A$2:$A$201,$A24,Catalog!$F$2:$F$201,"Idea")</f>
        <v>10</v>
      </c>
      <c r="G24" s="10" t="n">
        <f aca="false">D24/10</f>
        <v>0</v>
      </c>
      <c r="H24" s="11" t="s">
        <v>90</v>
      </c>
      <c r="I24" s="9" t="s">
        <v>46</v>
      </c>
      <c r="J24" s="9" t="s">
        <v>46</v>
      </c>
      <c r="K24" s="11" t="s">
        <v>91</v>
      </c>
    </row>
    <row r="25" customFormat="false" ht="33.75" hidden="false" customHeight="true" outlineLevel="0" collapsed="false">
      <c r="A25" s="13" t="s">
        <v>92</v>
      </c>
      <c r="B25" s="9" t="s">
        <v>85</v>
      </c>
      <c r="C25" s="9" t="s">
        <v>89</v>
      </c>
      <c r="D25" s="9" t="n">
        <f aca="false">COUNTIFS(Catalog!$A$2:$A$201,$A25,Catalog!$F$2:$F$201,"Published")</f>
        <v>0</v>
      </c>
      <c r="E25" s="9" t="n">
        <f aca="false">10-COUNTIFS(Catalog!$A$2:$A$201,$A25,Catalog!$F$2:$F$201,"Idea")-D25</f>
        <v>0</v>
      </c>
      <c r="F25" s="9" t="n">
        <f aca="false">COUNTIFS(Catalog!$A$2:$A$201,$A25,Catalog!$F$2:$F$201,"Idea")</f>
        <v>10</v>
      </c>
      <c r="G25" s="10" t="n">
        <f aca="false">D25/10</f>
        <v>0</v>
      </c>
      <c r="H25" s="11" t="s">
        <v>93</v>
      </c>
      <c r="I25" s="9" t="s">
        <v>46</v>
      </c>
      <c r="J25" s="9" t="s">
        <v>46</v>
      </c>
      <c r="K25" s="11" t="s">
        <v>94</v>
      </c>
    </row>
    <row r="26" customFormat="false" ht="33.75" hidden="false" customHeight="true" outlineLevel="0" collapsed="false">
      <c r="A26" s="13" t="s">
        <v>95</v>
      </c>
      <c r="B26" s="9" t="s">
        <v>85</v>
      </c>
      <c r="C26" s="9" t="s">
        <v>89</v>
      </c>
      <c r="D26" s="9" t="n">
        <f aca="false">COUNTIFS(Catalog!$A$2:$A$201,$A26,Catalog!$F$2:$F$201,"Published")</f>
        <v>0</v>
      </c>
      <c r="E26" s="9" t="n">
        <f aca="false">10-COUNTIFS(Catalog!$A$2:$A$201,$A26,Catalog!$F$2:$F$201,"Idea")-D26</f>
        <v>0</v>
      </c>
      <c r="F26" s="9" t="n">
        <f aca="false">COUNTIFS(Catalog!$A$2:$A$201,$A26,Catalog!$F$2:$F$201,"Idea")</f>
        <v>10</v>
      </c>
      <c r="G26" s="10" t="n">
        <f aca="false">D26/10</f>
        <v>0</v>
      </c>
      <c r="H26" s="11" t="s">
        <v>96</v>
      </c>
      <c r="I26" s="9" t="s">
        <v>97</v>
      </c>
      <c r="J26" s="9" t="s">
        <v>98</v>
      </c>
      <c r="K26" s="11" t="s">
        <v>99</v>
      </c>
    </row>
    <row r="27" customFormat="false" ht="15" hidden="false" customHeight="false" outlineLevel="0" collapsed="false">
      <c r="A27" s="14" t="s">
        <v>100</v>
      </c>
      <c r="B27" s="15"/>
      <c r="C27" s="15"/>
      <c r="D27" s="16" t="n">
        <f aca="false">SUM(D7:D26)</f>
        <v>0</v>
      </c>
      <c r="E27" s="16" t="n">
        <f aca="false">SUM(E7:E26)</f>
        <v>0</v>
      </c>
      <c r="F27" s="16" t="n">
        <f aca="false">SUM(F7:F26)</f>
        <v>200</v>
      </c>
      <c r="G27" s="17" t="n">
        <f aca="false">D27/200</f>
        <v>0</v>
      </c>
      <c r="H27" s="15"/>
      <c r="I27" s="15"/>
      <c r="J27" s="15"/>
      <c r="K27" s="15"/>
    </row>
  </sheetData>
  <mergeCells count="2">
    <mergeCell ref="A1:K1"/>
    <mergeCell ref="A2:K2"/>
  </mergeCells>
  <conditionalFormatting sqref="G7:G2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8" t="s">
        <v>7</v>
      </c>
      <c r="B1" s="18" t="s">
        <v>8</v>
      </c>
      <c r="C1" s="18" t="s">
        <v>101</v>
      </c>
      <c r="D1" s="18" t="s">
        <v>102</v>
      </c>
      <c r="E1" s="18" t="s">
        <v>103</v>
      </c>
      <c r="F1" s="18" t="s">
        <v>104</v>
      </c>
      <c r="G1" s="18" t="s">
        <v>105</v>
      </c>
      <c r="H1" s="18" t="s">
        <v>106</v>
      </c>
      <c r="I1" s="18" t="s">
        <v>107</v>
      </c>
      <c r="J1" s="18" t="s">
        <v>108</v>
      </c>
      <c r="K1" s="18" t="s">
        <v>109</v>
      </c>
    </row>
    <row r="2" customFormat="false" ht="23.85" hidden="false" customHeight="false" outlineLevel="0" collapsed="false">
      <c r="A2" s="19" t="s">
        <v>18</v>
      </c>
      <c r="B2" s="20" t="s">
        <v>19</v>
      </c>
      <c r="C2" s="21" t="n">
        <v>1</v>
      </c>
      <c r="D2" s="19" t="s">
        <v>110</v>
      </c>
      <c r="E2" s="19" t="s">
        <v>111</v>
      </c>
      <c r="F2" s="21" t="s">
        <v>112</v>
      </c>
      <c r="G2" s="21"/>
      <c r="H2" s="22"/>
      <c r="I2" s="21"/>
      <c r="J2" s="21"/>
      <c r="K2" s="19"/>
    </row>
    <row r="3" customFormat="false" ht="23.85" hidden="false" customHeight="false" outlineLevel="0" collapsed="false">
      <c r="A3" s="19" t="s">
        <v>18</v>
      </c>
      <c r="B3" s="20" t="s">
        <v>19</v>
      </c>
      <c r="C3" s="21" t="n">
        <v>2</v>
      </c>
      <c r="D3" s="19" t="s">
        <v>113</v>
      </c>
      <c r="E3" s="19" t="s">
        <v>114</v>
      </c>
      <c r="F3" s="21" t="s">
        <v>112</v>
      </c>
      <c r="G3" s="21"/>
      <c r="H3" s="22"/>
      <c r="I3" s="21"/>
      <c r="J3" s="21"/>
      <c r="K3" s="19"/>
    </row>
    <row r="4" customFormat="false" ht="15" hidden="false" customHeight="false" outlineLevel="0" collapsed="false">
      <c r="A4" s="19" t="s">
        <v>18</v>
      </c>
      <c r="B4" s="20" t="s">
        <v>19</v>
      </c>
      <c r="C4" s="21" t="n">
        <v>3</v>
      </c>
      <c r="D4" s="19" t="s">
        <v>115</v>
      </c>
      <c r="E4" s="19" t="s">
        <v>116</v>
      </c>
      <c r="F4" s="21" t="s">
        <v>112</v>
      </c>
      <c r="G4" s="21"/>
      <c r="H4" s="22"/>
      <c r="I4" s="21"/>
      <c r="J4" s="21"/>
      <c r="K4" s="19"/>
    </row>
    <row r="5" customFormat="false" ht="15" hidden="false" customHeight="false" outlineLevel="0" collapsed="false">
      <c r="A5" s="19" t="s">
        <v>18</v>
      </c>
      <c r="B5" s="20" t="s">
        <v>19</v>
      </c>
      <c r="C5" s="21" t="n">
        <v>4</v>
      </c>
      <c r="D5" s="19" t="s">
        <v>117</v>
      </c>
      <c r="E5" s="19" t="s">
        <v>118</v>
      </c>
      <c r="F5" s="21" t="s">
        <v>112</v>
      </c>
      <c r="G5" s="21"/>
      <c r="H5" s="22"/>
      <c r="I5" s="21"/>
      <c r="J5" s="21"/>
      <c r="K5" s="19"/>
    </row>
    <row r="6" customFormat="false" ht="15" hidden="false" customHeight="false" outlineLevel="0" collapsed="false">
      <c r="A6" s="19" t="s">
        <v>18</v>
      </c>
      <c r="B6" s="20" t="s">
        <v>19</v>
      </c>
      <c r="C6" s="21" t="n">
        <v>5</v>
      </c>
      <c r="D6" s="19" t="s">
        <v>119</v>
      </c>
      <c r="E6" s="19" t="s">
        <v>120</v>
      </c>
      <c r="F6" s="21" t="s">
        <v>112</v>
      </c>
      <c r="G6" s="21"/>
      <c r="H6" s="22"/>
      <c r="I6" s="21"/>
      <c r="J6" s="21"/>
      <c r="K6" s="19"/>
    </row>
    <row r="7" customFormat="false" ht="15" hidden="false" customHeight="false" outlineLevel="0" collapsed="false">
      <c r="A7" s="19" t="s">
        <v>18</v>
      </c>
      <c r="B7" s="20" t="s">
        <v>19</v>
      </c>
      <c r="C7" s="21" t="n">
        <v>6</v>
      </c>
      <c r="D7" s="19" t="s">
        <v>121</v>
      </c>
      <c r="E7" s="19" t="s">
        <v>122</v>
      </c>
      <c r="F7" s="21" t="s">
        <v>112</v>
      </c>
      <c r="G7" s="21"/>
      <c r="H7" s="22"/>
      <c r="I7" s="21"/>
      <c r="J7" s="21"/>
      <c r="K7" s="19"/>
    </row>
    <row r="8" customFormat="false" ht="15" hidden="false" customHeight="false" outlineLevel="0" collapsed="false">
      <c r="A8" s="19" t="s">
        <v>18</v>
      </c>
      <c r="B8" s="20" t="s">
        <v>19</v>
      </c>
      <c r="C8" s="21" t="n">
        <v>7</v>
      </c>
      <c r="D8" s="19" t="s">
        <v>123</v>
      </c>
      <c r="E8" s="19" t="s">
        <v>124</v>
      </c>
      <c r="F8" s="21" t="s">
        <v>112</v>
      </c>
      <c r="G8" s="21"/>
      <c r="H8" s="22"/>
      <c r="I8" s="21"/>
      <c r="J8" s="21"/>
      <c r="K8" s="19"/>
    </row>
    <row r="9" customFormat="false" ht="15" hidden="false" customHeight="false" outlineLevel="0" collapsed="false">
      <c r="A9" s="19" t="s">
        <v>18</v>
      </c>
      <c r="B9" s="20" t="s">
        <v>19</v>
      </c>
      <c r="C9" s="21" t="n">
        <v>8</v>
      </c>
      <c r="D9" s="19" t="s">
        <v>125</v>
      </c>
      <c r="E9" s="19" t="s">
        <v>126</v>
      </c>
      <c r="F9" s="21" t="s">
        <v>112</v>
      </c>
      <c r="G9" s="21"/>
      <c r="H9" s="22"/>
      <c r="I9" s="21"/>
      <c r="J9" s="21"/>
      <c r="K9" s="19"/>
    </row>
    <row r="10" customFormat="false" ht="15" hidden="false" customHeight="false" outlineLevel="0" collapsed="false">
      <c r="A10" s="19" t="s">
        <v>18</v>
      </c>
      <c r="B10" s="20" t="s">
        <v>19</v>
      </c>
      <c r="C10" s="21" t="n">
        <v>9</v>
      </c>
      <c r="D10" s="19" t="s">
        <v>127</v>
      </c>
      <c r="E10" s="19" t="s">
        <v>128</v>
      </c>
      <c r="F10" s="21" t="s">
        <v>112</v>
      </c>
      <c r="G10" s="21"/>
      <c r="H10" s="22"/>
      <c r="I10" s="21"/>
      <c r="J10" s="21"/>
      <c r="K10" s="19"/>
    </row>
    <row r="11" customFormat="false" ht="15" hidden="false" customHeight="false" outlineLevel="0" collapsed="false">
      <c r="A11" s="19" t="s">
        <v>18</v>
      </c>
      <c r="B11" s="20" t="s">
        <v>19</v>
      </c>
      <c r="C11" s="21" t="n">
        <v>10</v>
      </c>
      <c r="D11" s="19" t="s">
        <v>129</v>
      </c>
      <c r="E11" s="19" t="s">
        <v>130</v>
      </c>
      <c r="F11" s="21" t="s">
        <v>112</v>
      </c>
      <c r="G11" s="21"/>
      <c r="H11" s="22"/>
      <c r="I11" s="21"/>
      <c r="J11" s="21"/>
      <c r="K11" s="19"/>
    </row>
    <row r="12" customFormat="false" ht="15" hidden="false" customHeight="false" outlineLevel="0" collapsed="false">
      <c r="A12" s="19" t="s">
        <v>25</v>
      </c>
      <c r="B12" s="20" t="s">
        <v>19</v>
      </c>
      <c r="C12" s="21" t="n">
        <v>1</v>
      </c>
      <c r="D12" s="19" t="s">
        <v>131</v>
      </c>
      <c r="E12" s="19" t="s">
        <v>132</v>
      </c>
      <c r="F12" s="21" t="s">
        <v>112</v>
      </c>
      <c r="G12" s="21"/>
      <c r="H12" s="22"/>
      <c r="I12" s="21"/>
      <c r="J12" s="21"/>
      <c r="K12" s="19"/>
    </row>
    <row r="13" customFormat="false" ht="15" hidden="false" customHeight="false" outlineLevel="0" collapsed="false">
      <c r="A13" s="19" t="s">
        <v>25</v>
      </c>
      <c r="B13" s="20" t="s">
        <v>19</v>
      </c>
      <c r="C13" s="21" t="n">
        <v>2</v>
      </c>
      <c r="D13" s="19" t="s">
        <v>133</v>
      </c>
      <c r="E13" s="19" t="s">
        <v>134</v>
      </c>
      <c r="F13" s="21" t="s">
        <v>112</v>
      </c>
      <c r="G13" s="21"/>
      <c r="H13" s="22"/>
      <c r="I13" s="21"/>
      <c r="J13" s="21"/>
      <c r="K13" s="19"/>
    </row>
    <row r="14" customFormat="false" ht="15" hidden="false" customHeight="false" outlineLevel="0" collapsed="false">
      <c r="A14" s="19" t="s">
        <v>25</v>
      </c>
      <c r="B14" s="20" t="s">
        <v>19</v>
      </c>
      <c r="C14" s="21" t="n">
        <v>3</v>
      </c>
      <c r="D14" s="19" t="s">
        <v>135</v>
      </c>
      <c r="E14" s="19" t="s">
        <v>136</v>
      </c>
      <c r="F14" s="21" t="s">
        <v>112</v>
      </c>
      <c r="G14" s="21"/>
      <c r="H14" s="22"/>
      <c r="I14" s="21"/>
      <c r="J14" s="21"/>
      <c r="K14" s="19"/>
    </row>
    <row r="15" customFormat="false" ht="15" hidden="false" customHeight="false" outlineLevel="0" collapsed="false">
      <c r="A15" s="19" t="s">
        <v>25</v>
      </c>
      <c r="B15" s="20" t="s">
        <v>19</v>
      </c>
      <c r="C15" s="21" t="n">
        <v>4</v>
      </c>
      <c r="D15" s="19" t="s">
        <v>137</v>
      </c>
      <c r="E15" s="19" t="s">
        <v>138</v>
      </c>
      <c r="F15" s="21" t="s">
        <v>112</v>
      </c>
      <c r="G15" s="21"/>
      <c r="H15" s="22"/>
      <c r="I15" s="21"/>
      <c r="J15" s="21"/>
      <c r="K15" s="19"/>
    </row>
    <row r="16" customFormat="false" ht="15" hidden="false" customHeight="false" outlineLevel="0" collapsed="false">
      <c r="A16" s="19" t="s">
        <v>25</v>
      </c>
      <c r="B16" s="20" t="s">
        <v>19</v>
      </c>
      <c r="C16" s="21" t="n">
        <v>5</v>
      </c>
      <c r="D16" s="19" t="s">
        <v>139</v>
      </c>
      <c r="E16" s="19" t="s">
        <v>140</v>
      </c>
      <c r="F16" s="21" t="s">
        <v>112</v>
      </c>
      <c r="G16" s="21"/>
      <c r="H16" s="22"/>
      <c r="I16" s="21"/>
      <c r="J16" s="21"/>
      <c r="K16" s="19"/>
    </row>
    <row r="17" customFormat="false" ht="23.85" hidden="false" customHeight="false" outlineLevel="0" collapsed="false">
      <c r="A17" s="19" t="s">
        <v>25</v>
      </c>
      <c r="B17" s="20" t="s">
        <v>19</v>
      </c>
      <c r="C17" s="21" t="n">
        <v>6</v>
      </c>
      <c r="D17" s="19" t="s">
        <v>141</v>
      </c>
      <c r="E17" s="19" t="s">
        <v>142</v>
      </c>
      <c r="F17" s="21" t="s">
        <v>112</v>
      </c>
      <c r="G17" s="21"/>
      <c r="H17" s="22"/>
      <c r="I17" s="21"/>
      <c r="J17" s="21"/>
      <c r="K17" s="19"/>
    </row>
    <row r="18" customFormat="false" ht="15" hidden="false" customHeight="false" outlineLevel="0" collapsed="false">
      <c r="A18" s="19" t="s">
        <v>25</v>
      </c>
      <c r="B18" s="20" t="s">
        <v>19</v>
      </c>
      <c r="C18" s="21" t="n">
        <v>7</v>
      </c>
      <c r="D18" s="19" t="s">
        <v>143</v>
      </c>
      <c r="E18" s="19" t="s">
        <v>144</v>
      </c>
      <c r="F18" s="21" t="s">
        <v>112</v>
      </c>
      <c r="G18" s="21"/>
      <c r="H18" s="22"/>
      <c r="I18" s="21"/>
      <c r="J18" s="21"/>
      <c r="K18" s="19"/>
    </row>
    <row r="19" customFormat="false" ht="15" hidden="false" customHeight="false" outlineLevel="0" collapsed="false">
      <c r="A19" s="19" t="s">
        <v>25</v>
      </c>
      <c r="B19" s="20" t="s">
        <v>19</v>
      </c>
      <c r="C19" s="21" t="n">
        <v>8</v>
      </c>
      <c r="D19" s="19" t="s">
        <v>145</v>
      </c>
      <c r="E19" s="19" t="s">
        <v>146</v>
      </c>
      <c r="F19" s="21" t="s">
        <v>112</v>
      </c>
      <c r="G19" s="21"/>
      <c r="H19" s="22"/>
      <c r="I19" s="21"/>
      <c r="J19" s="21"/>
      <c r="K19" s="19"/>
    </row>
    <row r="20" customFormat="false" ht="15" hidden="false" customHeight="false" outlineLevel="0" collapsed="false">
      <c r="A20" s="19" t="s">
        <v>25</v>
      </c>
      <c r="B20" s="20" t="s">
        <v>19</v>
      </c>
      <c r="C20" s="21" t="n">
        <v>9</v>
      </c>
      <c r="D20" s="19" t="s">
        <v>147</v>
      </c>
      <c r="E20" s="19" t="s">
        <v>148</v>
      </c>
      <c r="F20" s="21" t="s">
        <v>112</v>
      </c>
      <c r="G20" s="21"/>
      <c r="H20" s="22"/>
      <c r="I20" s="21"/>
      <c r="J20" s="21"/>
      <c r="K20" s="19"/>
    </row>
    <row r="21" customFormat="false" ht="15" hidden="false" customHeight="false" outlineLevel="0" collapsed="false">
      <c r="A21" s="19" t="s">
        <v>25</v>
      </c>
      <c r="B21" s="20" t="s">
        <v>19</v>
      </c>
      <c r="C21" s="21" t="n">
        <v>10</v>
      </c>
      <c r="D21" s="19" t="s">
        <v>149</v>
      </c>
      <c r="E21" s="19" t="s">
        <v>150</v>
      </c>
      <c r="F21" s="21" t="s">
        <v>112</v>
      </c>
      <c r="G21" s="21"/>
      <c r="H21" s="22"/>
      <c r="I21" s="21"/>
      <c r="J21" s="21"/>
      <c r="K21" s="19"/>
    </row>
    <row r="22" customFormat="false" ht="15" hidden="false" customHeight="false" outlineLevel="0" collapsed="false">
      <c r="A22" s="19" t="s">
        <v>30</v>
      </c>
      <c r="B22" s="20" t="s">
        <v>19</v>
      </c>
      <c r="C22" s="21" t="n">
        <v>1</v>
      </c>
      <c r="D22" s="19" t="s">
        <v>151</v>
      </c>
      <c r="E22" s="19" t="s">
        <v>152</v>
      </c>
      <c r="F22" s="21" t="s">
        <v>112</v>
      </c>
      <c r="G22" s="21"/>
      <c r="H22" s="22"/>
      <c r="I22" s="21"/>
      <c r="J22" s="21"/>
      <c r="K22" s="19"/>
    </row>
    <row r="23" customFormat="false" ht="15" hidden="false" customHeight="false" outlineLevel="0" collapsed="false">
      <c r="A23" s="19" t="s">
        <v>30</v>
      </c>
      <c r="B23" s="20" t="s">
        <v>19</v>
      </c>
      <c r="C23" s="21" t="n">
        <v>2</v>
      </c>
      <c r="D23" s="19" t="s">
        <v>153</v>
      </c>
      <c r="E23" s="19" t="s">
        <v>154</v>
      </c>
      <c r="F23" s="21" t="s">
        <v>112</v>
      </c>
      <c r="G23" s="21"/>
      <c r="H23" s="22"/>
      <c r="I23" s="21"/>
      <c r="J23" s="21"/>
      <c r="K23" s="19"/>
    </row>
    <row r="24" customFormat="false" ht="15" hidden="false" customHeight="false" outlineLevel="0" collapsed="false">
      <c r="A24" s="19" t="s">
        <v>30</v>
      </c>
      <c r="B24" s="20" t="s">
        <v>19</v>
      </c>
      <c r="C24" s="21" t="n">
        <v>3</v>
      </c>
      <c r="D24" s="19" t="s">
        <v>155</v>
      </c>
      <c r="E24" s="19" t="s">
        <v>156</v>
      </c>
      <c r="F24" s="21" t="s">
        <v>112</v>
      </c>
      <c r="G24" s="21"/>
      <c r="H24" s="22"/>
      <c r="I24" s="21"/>
      <c r="J24" s="21"/>
      <c r="K24" s="19"/>
    </row>
    <row r="25" customFormat="false" ht="15" hidden="false" customHeight="false" outlineLevel="0" collapsed="false">
      <c r="A25" s="19" t="s">
        <v>30</v>
      </c>
      <c r="B25" s="20" t="s">
        <v>19</v>
      </c>
      <c r="C25" s="21" t="n">
        <v>4</v>
      </c>
      <c r="D25" s="19" t="s">
        <v>157</v>
      </c>
      <c r="E25" s="19" t="s">
        <v>158</v>
      </c>
      <c r="F25" s="21" t="s">
        <v>112</v>
      </c>
      <c r="G25" s="21"/>
      <c r="H25" s="22"/>
      <c r="I25" s="21"/>
      <c r="J25" s="21"/>
      <c r="K25" s="19"/>
    </row>
    <row r="26" customFormat="false" ht="15" hidden="false" customHeight="false" outlineLevel="0" collapsed="false">
      <c r="A26" s="19" t="s">
        <v>30</v>
      </c>
      <c r="B26" s="20" t="s">
        <v>19</v>
      </c>
      <c r="C26" s="21" t="n">
        <v>5</v>
      </c>
      <c r="D26" s="19" t="s">
        <v>159</v>
      </c>
      <c r="E26" s="19" t="s">
        <v>160</v>
      </c>
      <c r="F26" s="21" t="s">
        <v>112</v>
      </c>
      <c r="G26" s="21"/>
      <c r="H26" s="22"/>
      <c r="I26" s="21"/>
      <c r="J26" s="21"/>
      <c r="K26" s="19"/>
    </row>
    <row r="27" customFormat="false" ht="15" hidden="false" customHeight="false" outlineLevel="0" collapsed="false">
      <c r="A27" s="19" t="s">
        <v>30</v>
      </c>
      <c r="B27" s="20" t="s">
        <v>19</v>
      </c>
      <c r="C27" s="21" t="n">
        <v>6</v>
      </c>
      <c r="D27" s="19" t="s">
        <v>161</v>
      </c>
      <c r="E27" s="19" t="s">
        <v>162</v>
      </c>
      <c r="F27" s="21" t="s">
        <v>112</v>
      </c>
      <c r="G27" s="21"/>
      <c r="H27" s="22"/>
      <c r="I27" s="21"/>
      <c r="J27" s="21"/>
      <c r="K27" s="19"/>
    </row>
    <row r="28" customFormat="false" ht="15" hidden="false" customHeight="false" outlineLevel="0" collapsed="false">
      <c r="A28" s="19" t="s">
        <v>30</v>
      </c>
      <c r="B28" s="20" t="s">
        <v>19</v>
      </c>
      <c r="C28" s="21" t="n">
        <v>7</v>
      </c>
      <c r="D28" s="19" t="s">
        <v>163</v>
      </c>
      <c r="E28" s="19" t="s">
        <v>152</v>
      </c>
      <c r="F28" s="21" t="s">
        <v>112</v>
      </c>
      <c r="G28" s="21"/>
      <c r="H28" s="22"/>
      <c r="I28" s="21"/>
      <c r="J28" s="21"/>
      <c r="K28" s="19"/>
    </row>
    <row r="29" customFormat="false" ht="15" hidden="false" customHeight="false" outlineLevel="0" collapsed="false">
      <c r="A29" s="19" t="s">
        <v>30</v>
      </c>
      <c r="B29" s="20" t="s">
        <v>19</v>
      </c>
      <c r="C29" s="21" t="n">
        <v>8</v>
      </c>
      <c r="D29" s="19" t="s">
        <v>164</v>
      </c>
      <c r="E29" s="19" t="s">
        <v>165</v>
      </c>
      <c r="F29" s="21" t="s">
        <v>112</v>
      </c>
      <c r="G29" s="21"/>
      <c r="H29" s="22"/>
      <c r="I29" s="21"/>
      <c r="J29" s="21"/>
      <c r="K29" s="19"/>
    </row>
    <row r="30" customFormat="false" ht="15" hidden="false" customHeight="false" outlineLevel="0" collapsed="false">
      <c r="A30" s="19" t="s">
        <v>30</v>
      </c>
      <c r="B30" s="20" t="s">
        <v>19</v>
      </c>
      <c r="C30" s="21" t="n">
        <v>9</v>
      </c>
      <c r="D30" s="19" t="s">
        <v>166</v>
      </c>
      <c r="E30" s="19" t="s">
        <v>167</v>
      </c>
      <c r="F30" s="21" t="s">
        <v>112</v>
      </c>
      <c r="G30" s="21"/>
      <c r="H30" s="22"/>
      <c r="I30" s="21"/>
      <c r="J30" s="21"/>
      <c r="K30" s="19"/>
    </row>
    <row r="31" customFormat="false" ht="15" hidden="false" customHeight="false" outlineLevel="0" collapsed="false">
      <c r="A31" s="19" t="s">
        <v>30</v>
      </c>
      <c r="B31" s="20" t="s">
        <v>19</v>
      </c>
      <c r="C31" s="21" t="n">
        <v>10</v>
      </c>
      <c r="D31" s="19" t="s">
        <v>168</v>
      </c>
      <c r="E31" s="19" t="s">
        <v>169</v>
      </c>
      <c r="F31" s="21" t="s">
        <v>112</v>
      </c>
      <c r="G31" s="21"/>
      <c r="H31" s="22"/>
      <c r="I31" s="21"/>
      <c r="J31" s="21"/>
      <c r="K31" s="19"/>
    </row>
    <row r="32" customFormat="false" ht="15" hidden="false" customHeight="false" outlineLevel="0" collapsed="false">
      <c r="A32" s="19" t="s">
        <v>34</v>
      </c>
      <c r="B32" s="20" t="s">
        <v>19</v>
      </c>
      <c r="C32" s="21" t="n">
        <v>1</v>
      </c>
      <c r="D32" s="19" t="s">
        <v>170</v>
      </c>
      <c r="E32" s="19" t="s">
        <v>171</v>
      </c>
      <c r="F32" s="21" t="s">
        <v>112</v>
      </c>
      <c r="G32" s="21"/>
      <c r="H32" s="22"/>
      <c r="I32" s="21"/>
      <c r="J32" s="21"/>
      <c r="K32" s="19"/>
    </row>
    <row r="33" customFormat="false" ht="15" hidden="false" customHeight="false" outlineLevel="0" collapsed="false">
      <c r="A33" s="19" t="s">
        <v>34</v>
      </c>
      <c r="B33" s="20" t="s">
        <v>19</v>
      </c>
      <c r="C33" s="21" t="n">
        <v>2</v>
      </c>
      <c r="D33" s="19" t="s">
        <v>172</v>
      </c>
      <c r="E33" s="19" t="s">
        <v>173</v>
      </c>
      <c r="F33" s="21" t="s">
        <v>112</v>
      </c>
      <c r="G33" s="21"/>
      <c r="H33" s="22"/>
      <c r="I33" s="21"/>
      <c r="J33" s="21"/>
      <c r="K33" s="19"/>
    </row>
    <row r="34" customFormat="false" ht="15" hidden="false" customHeight="false" outlineLevel="0" collapsed="false">
      <c r="A34" s="19" t="s">
        <v>34</v>
      </c>
      <c r="B34" s="20" t="s">
        <v>19</v>
      </c>
      <c r="C34" s="21" t="n">
        <v>3</v>
      </c>
      <c r="D34" s="19" t="s">
        <v>174</v>
      </c>
      <c r="E34" s="19" t="s">
        <v>175</v>
      </c>
      <c r="F34" s="21" t="s">
        <v>112</v>
      </c>
      <c r="G34" s="21"/>
      <c r="H34" s="22"/>
      <c r="I34" s="21"/>
      <c r="J34" s="21"/>
      <c r="K34" s="19"/>
    </row>
    <row r="35" customFormat="false" ht="15" hidden="false" customHeight="false" outlineLevel="0" collapsed="false">
      <c r="A35" s="19" t="s">
        <v>34</v>
      </c>
      <c r="B35" s="20" t="s">
        <v>19</v>
      </c>
      <c r="C35" s="21" t="n">
        <v>4</v>
      </c>
      <c r="D35" s="19" t="s">
        <v>176</v>
      </c>
      <c r="E35" s="19" t="s">
        <v>177</v>
      </c>
      <c r="F35" s="21" t="s">
        <v>112</v>
      </c>
      <c r="G35" s="21"/>
      <c r="H35" s="22"/>
      <c r="I35" s="21"/>
      <c r="J35" s="21"/>
      <c r="K35" s="19"/>
    </row>
    <row r="36" customFormat="false" ht="15" hidden="false" customHeight="false" outlineLevel="0" collapsed="false">
      <c r="A36" s="19" t="s">
        <v>34</v>
      </c>
      <c r="B36" s="20" t="s">
        <v>19</v>
      </c>
      <c r="C36" s="21" t="n">
        <v>5</v>
      </c>
      <c r="D36" s="19" t="s">
        <v>178</v>
      </c>
      <c r="E36" s="19" t="s">
        <v>179</v>
      </c>
      <c r="F36" s="21" t="s">
        <v>112</v>
      </c>
      <c r="G36" s="21"/>
      <c r="H36" s="22"/>
      <c r="I36" s="21"/>
      <c r="J36" s="21"/>
      <c r="K36" s="19"/>
    </row>
    <row r="37" customFormat="false" ht="15" hidden="false" customHeight="false" outlineLevel="0" collapsed="false">
      <c r="A37" s="19" t="s">
        <v>34</v>
      </c>
      <c r="B37" s="20" t="s">
        <v>19</v>
      </c>
      <c r="C37" s="21" t="n">
        <v>6</v>
      </c>
      <c r="D37" s="19" t="s">
        <v>180</v>
      </c>
      <c r="E37" s="19" t="s">
        <v>181</v>
      </c>
      <c r="F37" s="21" t="s">
        <v>112</v>
      </c>
      <c r="G37" s="21"/>
      <c r="H37" s="22"/>
      <c r="I37" s="21"/>
      <c r="J37" s="21"/>
      <c r="K37" s="19"/>
    </row>
    <row r="38" customFormat="false" ht="15" hidden="false" customHeight="false" outlineLevel="0" collapsed="false">
      <c r="A38" s="19" t="s">
        <v>34</v>
      </c>
      <c r="B38" s="20" t="s">
        <v>19</v>
      </c>
      <c r="C38" s="21" t="n">
        <v>7</v>
      </c>
      <c r="D38" s="19" t="s">
        <v>182</v>
      </c>
      <c r="E38" s="19" t="s">
        <v>183</v>
      </c>
      <c r="F38" s="21" t="s">
        <v>112</v>
      </c>
      <c r="G38" s="21"/>
      <c r="H38" s="22"/>
      <c r="I38" s="21"/>
      <c r="J38" s="21"/>
      <c r="K38" s="19"/>
    </row>
    <row r="39" customFormat="false" ht="15" hidden="false" customHeight="false" outlineLevel="0" collapsed="false">
      <c r="A39" s="19" t="s">
        <v>34</v>
      </c>
      <c r="B39" s="20" t="s">
        <v>19</v>
      </c>
      <c r="C39" s="21" t="n">
        <v>8</v>
      </c>
      <c r="D39" s="19" t="s">
        <v>184</v>
      </c>
      <c r="E39" s="19" t="s">
        <v>185</v>
      </c>
      <c r="F39" s="21" t="s">
        <v>112</v>
      </c>
      <c r="G39" s="21"/>
      <c r="H39" s="22"/>
      <c r="I39" s="21"/>
      <c r="J39" s="21"/>
      <c r="K39" s="19"/>
    </row>
    <row r="40" customFormat="false" ht="15" hidden="false" customHeight="false" outlineLevel="0" collapsed="false">
      <c r="A40" s="19" t="s">
        <v>34</v>
      </c>
      <c r="B40" s="20" t="s">
        <v>19</v>
      </c>
      <c r="C40" s="21" t="n">
        <v>9</v>
      </c>
      <c r="D40" s="19" t="s">
        <v>186</v>
      </c>
      <c r="E40" s="19" t="s">
        <v>187</v>
      </c>
      <c r="F40" s="21" t="s">
        <v>112</v>
      </c>
      <c r="G40" s="21"/>
      <c r="H40" s="22"/>
      <c r="I40" s="21"/>
      <c r="J40" s="21"/>
      <c r="K40" s="19"/>
    </row>
    <row r="41" customFormat="false" ht="15" hidden="false" customHeight="false" outlineLevel="0" collapsed="false">
      <c r="A41" s="19" t="s">
        <v>34</v>
      </c>
      <c r="B41" s="20" t="s">
        <v>19</v>
      </c>
      <c r="C41" s="21" t="n">
        <v>10</v>
      </c>
      <c r="D41" s="19" t="s">
        <v>188</v>
      </c>
      <c r="E41" s="19" t="s">
        <v>189</v>
      </c>
      <c r="F41" s="21" t="s">
        <v>112</v>
      </c>
      <c r="G41" s="21"/>
      <c r="H41" s="22"/>
      <c r="I41" s="21"/>
      <c r="J41" s="21"/>
      <c r="K41" s="19"/>
    </row>
    <row r="42" customFormat="false" ht="15" hidden="false" customHeight="false" outlineLevel="0" collapsed="false">
      <c r="A42" s="19" t="s">
        <v>37</v>
      </c>
      <c r="B42" s="20" t="s">
        <v>19</v>
      </c>
      <c r="C42" s="21" t="n">
        <v>1</v>
      </c>
      <c r="D42" s="19" t="s">
        <v>190</v>
      </c>
      <c r="E42" s="19" t="s">
        <v>191</v>
      </c>
      <c r="F42" s="21" t="s">
        <v>112</v>
      </c>
      <c r="G42" s="21"/>
      <c r="H42" s="22"/>
      <c r="I42" s="21"/>
      <c r="J42" s="21"/>
      <c r="K42" s="19"/>
    </row>
    <row r="43" customFormat="false" ht="15" hidden="false" customHeight="false" outlineLevel="0" collapsed="false">
      <c r="A43" s="19" t="s">
        <v>37</v>
      </c>
      <c r="B43" s="20" t="s">
        <v>19</v>
      </c>
      <c r="C43" s="21" t="n">
        <v>2</v>
      </c>
      <c r="D43" s="19" t="s">
        <v>192</v>
      </c>
      <c r="E43" s="19" t="s">
        <v>193</v>
      </c>
      <c r="F43" s="21" t="s">
        <v>112</v>
      </c>
      <c r="G43" s="21"/>
      <c r="H43" s="22"/>
      <c r="I43" s="21"/>
      <c r="J43" s="21"/>
      <c r="K43" s="19"/>
    </row>
    <row r="44" customFormat="false" ht="15" hidden="false" customHeight="false" outlineLevel="0" collapsed="false">
      <c r="A44" s="19" t="s">
        <v>37</v>
      </c>
      <c r="B44" s="20" t="s">
        <v>19</v>
      </c>
      <c r="C44" s="21" t="n">
        <v>3</v>
      </c>
      <c r="D44" s="19" t="s">
        <v>194</v>
      </c>
      <c r="E44" s="19" t="s">
        <v>195</v>
      </c>
      <c r="F44" s="21" t="s">
        <v>112</v>
      </c>
      <c r="G44" s="21"/>
      <c r="H44" s="22"/>
      <c r="I44" s="21"/>
      <c r="J44" s="21"/>
      <c r="K44" s="19"/>
    </row>
    <row r="45" customFormat="false" ht="15" hidden="false" customHeight="false" outlineLevel="0" collapsed="false">
      <c r="A45" s="19" t="s">
        <v>37</v>
      </c>
      <c r="B45" s="20" t="s">
        <v>19</v>
      </c>
      <c r="C45" s="21" t="n">
        <v>4</v>
      </c>
      <c r="D45" s="19" t="s">
        <v>196</v>
      </c>
      <c r="E45" s="19" t="s">
        <v>197</v>
      </c>
      <c r="F45" s="21" t="s">
        <v>112</v>
      </c>
      <c r="G45" s="21"/>
      <c r="H45" s="22"/>
      <c r="I45" s="21"/>
      <c r="J45" s="21"/>
      <c r="K45" s="19"/>
    </row>
    <row r="46" customFormat="false" ht="15" hidden="false" customHeight="false" outlineLevel="0" collapsed="false">
      <c r="A46" s="19" t="s">
        <v>37</v>
      </c>
      <c r="B46" s="20" t="s">
        <v>19</v>
      </c>
      <c r="C46" s="21" t="n">
        <v>5</v>
      </c>
      <c r="D46" s="19" t="s">
        <v>198</v>
      </c>
      <c r="E46" s="19" t="s">
        <v>199</v>
      </c>
      <c r="F46" s="21" t="s">
        <v>112</v>
      </c>
      <c r="G46" s="21"/>
      <c r="H46" s="22"/>
      <c r="I46" s="21"/>
      <c r="J46" s="21"/>
      <c r="K46" s="19"/>
    </row>
    <row r="47" customFormat="false" ht="15" hidden="false" customHeight="false" outlineLevel="0" collapsed="false">
      <c r="A47" s="19" t="s">
        <v>37</v>
      </c>
      <c r="B47" s="20" t="s">
        <v>19</v>
      </c>
      <c r="C47" s="21" t="n">
        <v>6</v>
      </c>
      <c r="D47" s="19" t="s">
        <v>200</v>
      </c>
      <c r="E47" s="19" t="s">
        <v>201</v>
      </c>
      <c r="F47" s="21" t="s">
        <v>112</v>
      </c>
      <c r="G47" s="21"/>
      <c r="H47" s="22"/>
      <c r="I47" s="21"/>
      <c r="J47" s="21"/>
      <c r="K47" s="19"/>
    </row>
    <row r="48" customFormat="false" ht="15" hidden="false" customHeight="false" outlineLevel="0" collapsed="false">
      <c r="A48" s="19" t="s">
        <v>37</v>
      </c>
      <c r="B48" s="20" t="s">
        <v>19</v>
      </c>
      <c r="C48" s="21" t="n">
        <v>7</v>
      </c>
      <c r="D48" s="19" t="s">
        <v>202</v>
      </c>
      <c r="E48" s="19" t="s">
        <v>203</v>
      </c>
      <c r="F48" s="21" t="s">
        <v>112</v>
      </c>
      <c r="G48" s="21"/>
      <c r="H48" s="22"/>
      <c r="I48" s="21"/>
      <c r="J48" s="21"/>
      <c r="K48" s="19"/>
    </row>
    <row r="49" customFormat="false" ht="15" hidden="false" customHeight="false" outlineLevel="0" collapsed="false">
      <c r="A49" s="19" t="s">
        <v>37</v>
      </c>
      <c r="B49" s="20" t="s">
        <v>19</v>
      </c>
      <c r="C49" s="21" t="n">
        <v>8</v>
      </c>
      <c r="D49" s="19" t="s">
        <v>204</v>
      </c>
      <c r="E49" s="19" t="s">
        <v>205</v>
      </c>
      <c r="F49" s="21" t="s">
        <v>112</v>
      </c>
      <c r="G49" s="21"/>
      <c r="H49" s="22"/>
      <c r="I49" s="21"/>
      <c r="J49" s="21"/>
      <c r="K49" s="19"/>
    </row>
    <row r="50" customFormat="false" ht="15" hidden="false" customHeight="false" outlineLevel="0" collapsed="false">
      <c r="A50" s="19" t="s">
        <v>37</v>
      </c>
      <c r="B50" s="20" t="s">
        <v>19</v>
      </c>
      <c r="C50" s="21" t="n">
        <v>9</v>
      </c>
      <c r="D50" s="19" t="s">
        <v>206</v>
      </c>
      <c r="E50" s="19" t="s">
        <v>207</v>
      </c>
      <c r="F50" s="21" t="s">
        <v>112</v>
      </c>
      <c r="G50" s="21"/>
      <c r="H50" s="22"/>
      <c r="I50" s="21"/>
      <c r="J50" s="21"/>
      <c r="K50" s="19"/>
    </row>
    <row r="51" customFormat="false" ht="15" hidden="false" customHeight="false" outlineLevel="0" collapsed="false">
      <c r="A51" s="19" t="s">
        <v>37</v>
      </c>
      <c r="B51" s="20" t="s">
        <v>19</v>
      </c>
      <c r="C51" s="21" t="n">
        <v>10</v>
      </c>
      <c r="D51" s="19" t="s">
        <v>208</v>
      </c>
      <c r="E51" s="19" t="s">
        <v>209</v>
      </c>
      <c r="F51" s="21" t="s">
        <v>112</v>
      </c>
      <c r="G51" s="21"/>
      <c r="H51" s="22"/>
      <c r="I51" s="21"/>
      <c r="J51" s="21"/>
      <c r="K51" s="19"/>
    </row>
    <row r="52" customFormat="false" ht="15" hidden="false" customHeight="false" outlineLevel="0" collapsed="false">
      <c r="A52" s="19" t="s">
        <v>43</v>
      </c>
      <c r="B52" s="20" t="s">
        <v>19</v>
      </c>
      <c r="C52" s="21" t="n">
        <v>1</v>
      </c>
      <c r="D52" s="19" t="s">
        <v>210</v>
      </c>
      <c r="E52" s="19" t="s">
        <v>211</v>
      </c>
      <c r="F52" s="21" t="s">
        <v>112</v>
      </c>
      <c r="G52" s="21"/>
      <c r="H52" s="22"/>
      <c r="I52" s="21"/>
      <c r="J52" s="21"/>
      <c r="K52" s="19"/>
    </row>
    <row r="53" customFormat="false" ht="15" hidden="false" customHeight="false" outlineLevel="0" collapsed="false">
      <c r="A53" s="19" t="s">
        <v>43</v>
      </c>
      <c r="B53" s="20" t="s">
        <v>19</v>
      </c>
      <c r="C53" s="21" t="n">
        <v>2</v>
      </c>
      <c r="D53" s="19" t="s">
        <v>212</v>
      </c>
      <c r="E53" s="19" t="s">
        <v>213</v>
      </c>
      <c r="F53" s="21" t="s">
        <v>112</v>
      </c>
      <c r="G53" s="21"/>
      <c r="H53" s="22"/>
      <c r="I53" s="21"/>
      <c r="J53" s="21"/>
      <c r="K53" s="19"/>
    </row>
    <row r="54" customFormat="false" ht="15" hidden="false" customHeight="false" outlineLevel="0" collapsed="false">
      <c r="A54" s="19" t="s">
        <v>43</v>
      </c>
      <c r="B54" s="20" t="s">
        <v>19</v>
      </c>
      <c r="C54" s="21" t="n">
        <v>3</v>
      </c>
      <c r="D54" s="19" t="s">
        <v>214</v>
      </c>
      <c r="E54" s="19" t="s">
        <v>215</v>
      </c>
      <c r="F54" s="21" t="s">
        <v>112</v>
      </c>
      <c r="G54" s="21"/>
      <c r="H54" s="22"/>
      <c r="I54" s="21"/>
      <c r="J54" s="21"/>
      <c r="K54" s="19"/>
    </row>
    <row r="55" customFormat="false" ht="15" hidden="false" customHeight="false" outlineLevel="0" collapsed="false">
      <c r="A55" s="19" t="s">
        <v>43</v>
      </c>
      <c r="B55" s="20" t="s">
        <v>19</v>
      </c>
      <c r="C55" s="21" t="n">
        <v>4</v>
      </c>
      <c r="D55" s="19" t="s">
        <v>216</v>
      </c>
      <c r="E55" s="19" t="s">
        <v>217</v>
      </c>
      <c r="F55" s="21" t="s">
        <v>112</v>
      </c>
      <c r="G55" s="21"/>
      <c r="H55" s="22"/>
      <c r="I55" s="21"/>
      <c r="J55" s="21"/>
      <c r="K55" s="19"/>
    </row>
    <row r="56" customFormat="false" ht="15" hidden="false" customHeight="false" outlineLevel="0" collapsed="false">
      <c r="A56" s="19" t="s">
        <v>43</v>
      </c>
      <c r="B56" s="20" t="s">
        <v>19</v>
      </c>
      <c r="C56" s="21" t="n">
        <v>5</v>
      </c>
      <c r="D56" s="19" t="s">
        <v>218</v>
      </c>
      <c r="E56" s="19" t="s">
        <v>219</v>
      </c>
      <c r="F56" s="21" t="s">
        <v>112</v>
      </c>
      <c r="G56" s="21"/>
      <c r="H56" s="22"/>
      <c r="I56" s="21"/>
      <c r="J56" s="21"/>
      <c r="K56" s="19"/>
    </row>
    <row r="57" customFormat="false" ht="15" hidden="false" customHeight="false" outlineLevel="0" collapsed="false">
      <c r="A57" s="19" t="s">
        <v>43</v>
      </c>
      <c r="B57" s="20" t="s">
        <v>19</v>
      </c>
      <c r="C57" s="21" t="n">
        <v>6</v>
      </c>
      <c r="D57" s="19" t="s">
        <v>220</v>
      </c>
      <c r="E57" s="19" t="s">
        <v>221</v>
      </c>
      <c r="F57" s="21" t="s">
        <v>112</v>
      </c>
      <c r="G57" s="21"/>
      <c r="H57" s="22"/>
      <c r="I57" s="21"/>
      <c r="J57" s="21"/>
      <c r="K57" s="19"/>
    </row>
    <row r="58" customFormat="false" ht="15" hidden="false" customHeight="false" outlineLevel="0" collapsed="false">
      <c r="A58" s="19" t="s">
        <v>43</v>
      </c>
      <c r="B58" s="20" t="s">
        <v>19</v>
      </c>
      <c r="C58" s="21" t="n">
        <v>7</v>
      </c>
      <c r="D58" s="19" t="s">
        <v>222</v>
      </c>
      <c r="E58" s="19" t="s">
        <v>223</v>
      </c>
      <c r="F58" s="21" t="s">
        <v>112</v>
      </c>
      <c r="G58" s="21"/>
      <c r="H58" s="22"/>
      <c r="I58" s="21"/>
      <c r="J58" s="21"/>
      <c r="K58" s="19"/>
    </row>
    <row r="59" customFormat="false" ht="15" hidden="false" customHeight="false" outlineLevel="0" collapsed="false">
      <c r="A59" s="19" t="s">
        <v>43</v>
      </c>
      <c r="B59" s="20" t="s">
        <v>19</v>
      </c>
      <c r="C59" s="21" t="n">
        <v>8</v>
      </c>
      <c r="D59" s="19" t="s">
        <v>224</v>
      </c>
      <c r="E59" s="19" t="s">
        <v>225</v>
      </c>
      <c r="F59" s="21" t="s">
        <v>112</v>
      </c>
      <c r="G59" s="21"/>
      <c r="H59" s="22"/>
      <c r="I59" s="21"/>
      <c r="J59" s="21"/>
      <c r="K59" s="19"/>
    </row>
    <row r="60" customFormat="false" ht="15" hidden="false" customHeight="false" outlineLevel="0" collapsed="false">
      <c r="A60" s="19" t="s">
        <v>43</v>
      </c>
      <c r="B60" s="20" t="s">
        <v>19</v>
      </c>
      <c r="C60" s="21" t="n">
        <v>9</v>
      </c>
      <c r="D60" s="19" t="s">
        <v>226</v>
      </c>
      <c r="E60" s="19" t="s">
        <v>227</v>
      </c>
      <c r="F60" s="21" t="s">
        <v>112</v>
      </c>
      <c r="G60" s="21"/>
      <c r="H60" s="22"/>
      <c r="I60" s="21"/>
      <c r="J60" s="21"/>
      <c r="K60" s="19"/>
    </row>
    <row r="61" customFormat="false" ht="15" hidden="false" customHeight="false" outlineLevel="0" collapsed="false">
      <c r="A61" s="19" t="s">
        <v>43</v>
      </c>
      <c r="B61" s="20" t="s">
        <v>19</v>
      </c>
      <c r="C61" s="21" t="n">
        <v>10</v>
      </c>
      <c r="D61" s="19" t="s">
        <v>228</v>
      </c>
      <c r="E61" s="19" t="s">
        <v>229</v>
      </c>
      <c r="F61" s="21" t="s">
        <v>112</v>
      </c>
      <c r="G61" s="21"/>
      <c r="H61" s="22"/>
      <c r="I61" s="21"/>
      <c r="J61" s="21"/>
      <c r="K61" s="19"/>
    </row>
    <row r="62" customFormat="false" ht="23.85" hidden="false" customHeight="false" outlineLevel="0" collapsed="false">
      <c r="A62" s="19" t="s">
        <v>48</v>
      </c>
      <c r="B62" s="23" t="s">
        <v>49</v>
      </c>
      <c r="C62" s="21" t="n">
        <v>1</v>
      </c>
      <c r="D62" s="19" t="s">
        <v>230</v>
      </c>
      <c r="E62" s="19" t="s">
        <v>231</v>
      </c>
      <c r="F62" s="21" t="s">
        <v>112</v>
      </c>
      <c r="G62" s="21"/>
      <c r="H62" s="22"/>
      <c r="I62" s="21"/>
      <c r="J62" s="21"/>
      <c r="K62" s="19"/>
    </row>
    <row r="63" customFormat="false" ht="23.85" hidden="false" customHeight="false" outlineLevel="0" collapsed="false">
      <c r="A63" s="19" t="s">
        <v>48</v>
      </c>
      <c r="B63" s="23" t="s">
        <v>49</v>
      </c>
      <c r="C63" s="21" t="n">
        <v>2</v>
      </c>
      <c r="D63" s="19" t="s">
        <v>232</v>
      </c>
      <c r="E63" s="19" t="s">
        <v>233</v>
      </c>
      <c r="F63" s="21" t="s">
        <v>112</v>
      </c>
      <c r="G63" s="21"/>
      <c r="H63" s="22"/>
      <c r="I63" s="21"/>
      <c r="J63" s="21"/>
      <c r="K63" s="19"/>
    </row>
    <row r="64" customFormat="false" ht="23.85" hidden="false" customHeight="false" outlineLevel="0" collapsed="false">
      <c r="A64" s="19" t="s">
        <v>48</v>
      </c>
      <c r="B64" s="23" t="s">
        <v>49</v>
      </c>
      <c r="C64" s="21" t="n">
        <v>3</v>
      </c>
      <c r="D64" s="19" t="s">
        <v>234</v>
      </c>
      <c r="E64" s="19" t="s">
        <v>235</v>
      </c>
      <c r="F64" s="21" t="s">
        <v>112</v>
      </c>
      <c r="G64" s="21"/>
      <c r="H64" s="22"/>
      <c r="I64" s="21"/>
      <c r="J64" s="21"/>
      <c r="K64" s="19"/>
    </row>
    <row r="65" customFormat="false" ht="23.85" hidden="false" customHeight="false" outlineLevel="0" collapsed="false">
      <c r="A65" s="19" t="s">
        <v>48</v>
      </c>
      <c r="B65" s="23" t="s">
        <v>49</v>
      </c>
      <c r="C65" s="21" t="n">
        <v>4</v>
      </c>
      <c r="D65" s="19" t="s">
        <v>236</v>
      </c>
      <c r="E65" s="19" t="s">
        <v>237</v>
      </c>
      <c r="F65" s="21" t="s">
        <v>112</v>
      </c>
      <c r="G65" s="21"/>
      <c r="H65" s="22"/>
      <c r="I65" s="21"/>
      <c r="J65" s="21"/>
      <c r="K65" s="19"/>
    </row>
    <row r="66" customFormat="false" ht="23.85" hidden="false" customHeight="false" outlineLevel="0" collapsed="false">
      <c r="A66" s="19" t="s">
        <v>48</v>
      </c>
      <c r="B66" s="23" t="s">
        <v>49</v>
      </c>
      <c r="C66" s="21" t="n">
        <v>5</v>
      </c>
      <c r="D66" s="19" t="s">
        <v>238</v>
      </c>
      <c r="E66" s="19" t="s">
        <v>239</v>
      </c>
      <c r="F66" s="21" t="s">
        <v>112</v>
      </c>
      <c r="G66" s="21"/>
      <c r="H66" s="22"/>
      <c r="I66" s="21"/>
      <c r="J66" s="21"/>
      <c r="K66" s="19"/>
    </row>
    <row r="67" customFormat="false" ht="23.85" hidden="false" customHeight="false" outlineLevel="0" collapsed="false">
      <c r="A67" s="19" t="s">
        <v>48</v>
      </c>
      <c r="B67" s="23" t="s">
        <v>49</v>
      </c>
      <c r="C67" s="21" t="n">
        <v>6</v>
      </c>
      <c r="D67" s="19" t="s">
        <v>240</v>
      </c>
      <c r="E67" s="19" t="s">
        <v>241</v>
      </c>
      <c r="F67" s="21" t="s">
        <v>112</v>
      </c>
      <c r="G67" s="21"/>
      <c r="H67" s="22"/>
      <c r="I67" s="21"/>
      <c r="J67" s="21"/>
      <c r="K67" s="19"/>
    </row>
    <row r="68" customFormat="false" ht="15" hidden="false" customHeight="false" outlineLevel="0" collapsed="false">
      <c r="A68" s="19" t="s">
        <v>48</v>
      </c>
      <c r="B68" s="23" t="s">
        <v>49</v>
      </c>
      <c r="C68" s="21" t="n">
        <v>7</v>
      </c>
      <c r="D68" s="19" t="s">
        <v>242</v>
      </c>
      <c r="E68" s="19" t="s">
        <v>243</v>
      </c>
      <c r="F68" s="21" t="s">
        <v>112</v>
      </c>
      <c r="G68" s="21"/>
      <c r="H68" s="22"/>
      <c r="I68" s="21"/>
      <c r="J68" s="21"/>
      <c r="K68" s="19"/>
    </row>
    <row r="69" customFormat="false" ht="23.85" hidden="false" customHeight="false" outlineLevel="0" collapsed="false">
      <c r="A69" s="19" t="s">
        <v>48</v>
      </c>
      <c r="B69" s="23" t="s">
        <v>49</v>
      </c>
      <c r="C69" s="21" t="n">
        <v>8</v>
      </c>
      <c r="D69" s="19" t="s">
        <v>244</v>
      </c>
      <c r="E69" s="19" t="s">
        <v>245</v>
      </c>
      <c r="F69" s="21" t="s">
        <v>112</v>
      </c>
      <c r="G69" s="21"/>
      <c r="H69" s="22"/>
      <c r="I69" s="21"/>
      <c r="J69" s="21"/>
      <c r="K69" s="19"/>
    </row>
    <row r="70" customFormat="false" ht="23.85" hidden="false" customHeight="false" outlineLevel="0" collapsed="false">
      <c r="A70" s="19" t="s">
        <v>48</v>
      </c>
      <c r="B70" s="23" t="s">
        <v>49</v>
      </c>
      <c r="C70" s="21" t="n">
        <v>9</v>
      </c>
      <c r="D70" s="19" t="s">
        <v>246</v>
      </c>
      <c r="E70" s="19" t="s">
        <v>247</v>
      </c>
      <c r="F70" s="21" t="s">
        <v>112</v>
      </c>
      <c r="G70" s="21"/>
      <c r="H70" s="22"/>
      <c r="I70" s="21"/>
      <c r="J70" s="21"/>
      <c r="K70" s="19"/>
    </row>
    <row r="71" customFormat="false" ht="23.85" hidden="false" customHeight="false" outlineLevel="0" collapsed="false">
      <c r="A71" s="19" t="s">
        <v>48</v>
      </c>
      <c r="B71" s="23" t="s">
        <v>49</v>
      </c>
      <c r="C71" s="21" t="n">
        <v>10</v>
      </c>
      <c r="D71" s="19" t="s">
        <v>248</v>
      </c>
      <c r="E71" s="19" t="s">
        <v>249</v>
      </c>
      <c r="F71" s="21" t="s">
        <v>112</v>
      </c>
      <c r="G71" s="21"/>
      <c r="H71" s="22"/>
      <c r="I71" s="21"/>
      <c r="J71" s="21"/>
      <c r="K71" s="19"/>
    </row>
    <row r="72" customFormat="false" ht="23.85" hidden="false" customHeight="false" outlineLevel="0" collapsed="false">
      <c r="A72" s="19" t="s">
        <v>55</v>
      </c>
      <c r="B72" s="23" t="s">
        <v>49</v>
      </c>
      <c r="C72" s="21" t="n">
        <v>1</v>
      </c>
      <c r="D72" s="19" t="s">
        <v>250</v>
      </c>
      <c r="E72" s="19" t="s">
        <v>251</v>
      </c>
      <c r="F72" s="21" t="s">
        <v>112</v>
      </c>
      <c r="G72" s="21"/>
      <c r="H72" s="22"/>
      <c r="I72" s="21"/>
      <c r="J72" s="21"/>
      <c r="K72" s="19"/>
    </row>
    <row r="73" customFormat="false" ht="23.85" hidden="false" customHeight="false" outlineLevel="0" collapsed="false">
      <c r="A73" s="19" t="s">
        <v>55</v>
      </c>
      <c r="B73" s="23" t="s">
        <v>49</v>
      </c>
      <c r="C73" s="21" t="n">
        <v>2</v>
      </c>
      <c r="D73" s="19" t="s">
        <v>252</v>
      </c>
      <c r="E73" s="19" t="s">
        <v>253</v>
      </c>
      <c r="F73" s="21" t="s">
        <v>112</v>
      </c>
      <c r="G73" s="21"/>
      <c r="H73" s="22"/>
      <c r="I73" s="21"/>
      <c r="J73" s="21"/>
      <c r="K73" s="19"/>
    </row>
    <row r="74" customFormat="false" ht="23.85" hidden="false" customHeight="false" outlineLevel="0" collapsed="false">
      <c r="A74" s="19" t="s">
        <v>55</v>
      </c>
      <c r="B74" s="23" t="s">
        <v>49</v>
      </c>
      <c r="C74" s="21" t="n">
        <v>3</v>
      </c>
      <c r="D74" s="19" t="s">
        <v>254</v>
      </c>
      <c r="E74" s="19" t="s">
        <v>255</v>
      </c>
      <c r="F74" s="21" t="s">
        <v>112</v>
      </c>
      <c r="G74" s="21"/>
      <c r="H74" s="22"/>
      <c r="I74" s="21"/>
      <c r="J74" s="21"/>
      <c r="K74" s="19"/>
    </row>
    <row r="75" customFormat="false" ht="23.85" hidden="false" customHeight="false" outlineLevel="0" collapsed="false">
      <c r="A75" s="19" t="s">
        <v>55</v>
      </c>
      <c r="B75" s="23" t="s">
        <v>49</v>
      </c>
      <c r="C75" s="21" t="n">
        <v>4</v>
      </c>
      <c r="D75" s="19" t="s">
        <v>256</v>
      </c>
      <c r="E75" s="19" t="s">
        <v>257</v>
      </c>
      <c r="F75" s="21" t="s">
        <v>112</v>
      </c>
      <c r="G75" s="21"/>
      <c r="H75" s="22"/>
      <c r="I75" s="21"/>
      <c r="J75" s="21"/>
      <c r="K75" s="19"/>
    </row>
    <row r="76" customFormat="false" ht="23.85" hidden="false" customHeight="false" outlineLevel="0" collapsed="false">
      <c r="A76" s="19" t="s">
        <v>55</v>
      </c>
      <c r="B76" s="23" t="s">
        <v>49</v>
      </c>
      <c r="C76" s="21" t="n">
        <v>5</v>
      </c>
      <c r="D76" s="19" t="s">
        <v>258</v>
      </c>
      <c r="E76" s="19" t="s">
        <v>259</v>
      </c>
      <c r="F76" s="21" t="s">
        <v>112</v>
      </c>
      <c r="G76" s="21"/>
      <c r="H76" s="22"/>
      <c r="I76" s="21"/>
      <c r="J76" s="21"/>
      <c r="K76" s="19"/>
    </row>
    <row r="77" customFormat="false" ht="23.85" hidden="false" customHeight="false" outlineLevel="0" collapsed="false">
      <c r="A77" s="19" t="s">
        <v>55</v>
      </c>
      <c r="B77" s="23" t="s">
        <v>49</v>
      </c>
      <c r="C77" s="21" t="n">
        <v>6</v>
      </c>
      <c r="D77" s="19" t="s">
        <v>260</v>
      </c>
      <c r="E77" s="19" t="s">
        <v>261</v>
      </c>
      <c r="F77" s="21" t="s">
        <v>112</v>
      </c>
      <c r="G77" s="21"/>
      <c r="H77" s="22"/>
      <c r="I77" s="21"/>
      <c r="J77" s="21"/>
      <c r="K77" s="19"/>
    </row>
    <row r="78" customFormat="false" ht="23.85" hidden="false" customHeight="false" outlineLevel="0" collapsed="false">
      <c r="A78" s="19" t="s">
        <v>55</v>
      </c>
      <c r="B78" s="23" t="s">
        <v>49</v>
      </c>
      <c r="C78" s="21" t="n">
        <v>7</v>
      </c>
      <c r="D78" s="19" t="s">
        <v>262</v>
      </c>
      <c r="E78" s="19" t="s">
        <v>263</v>
      </c>
      <c r="F78" s="21" t="s">
        <v>112</v>
      </c>
      <c r="G78" s="21"/>
      <c r="H78" s="22"/>
      <c r="I78" s="21"/>
      <c r="J78" s="21"/>
      <c r="K78" s="19"/>
    </row>
    <row r="79" customFormat="false" ht="23.85" hidden="false" customHeight="false" outlineLevel="0" collapsed="false">
      <c r="A79" s="19" t="s">
        <v>55</v>
      </c>
      <c r="B79" s="23" t="s">
        <v>49</v>
      </c>
      <c r="C79" s="21" t="n">
        <v>8</v>
      </c>
      <c r="D79" s="19" t="s">
        <v>264</v>
      </c>
      <c r="E79" s="19" t="s">
        <v>265</v>
      </c>
      <c r="F79" s="21" t="s">
        <v>112</v>
      </c>
      <c r="G79" s="21"/>
      <c r="H79" s="22"/>
      <c r="I79" s="21"/>
      <c r="J79" s="21"/>
      <c r="K79" s="19"/>
    </row>
    <row r="80" customFormat="false" ht="23.85" hidden="false" customHeight="false" outlineLevel="0" collapsed="false">
      <c r="A80" s="19" t="s">
        <v>55</v>
      </c>
      <c r="B80" s="23" t="s">
        <v>49</v>
      </c>
      <c r="C80" s="21" t="n">
        <v>9</v>
      </c>
      <c r="D80" s="19" t="s">
        <v>266</v>
      </c>
      <c r="E80" s="19" t="s">
        <v>267</v>
      </c>
      <c r="F80" s="21" t="s">
        <v>112</v>
      </c>
      <c r="G80" s="21"/>
      <c r="H80" s="22"/>
      <c r="I80" s="21"/>
      <c r="J80" s="21"/>
      <c r="K80" s="19"/>
    </row>
    <row r="81" customFormat="false" ht="23.85" hidden="false" customHeight="false" outlineLevel="0" collapsed="false">
      <c r="A81" s="19" t="s">
        <v>55</v>
      </c>
      <c r="B81" s="23" t="s">
        <v>49</v>
      </c>
      <c r="C81" s="21" t="n">
        <v>10</v>
      </c>
      <c r="D81" s="19" t="s">
        <v>268</v>
      </c>
      <c r="E81" s="19" t="s">
        <v>255</v>
      </c>
      <c r="F81" s="21" t="s">
        <v>112</v>
      </c>
      <c r="G81" s="21"/>
      <c r="H81" s="22"/>
      <c r="I81" s="21"/>
      <c r="J81" s="21"/>
      <c r="K81" s="19"/>
    </row>
    <row r="82" customFormat="false" ht="23.85" hidden="false" customHeight="false" outlineLevel="0" collapsed="false">
      <c r="A82" s="19" t="s">
        <v>59</v>
      </c>
      <c r="B82" s="23" t="s">
        <v>49</v>
      </c>
      <c r="C82" s="21" t="n">
        <v>1</v>
      </c>
      <c r="D82" s="19" t="s">
        <v>269</v>
      </c>
      <c r="E82" s="19" t="s">
        <v>270</v>
      </c>
      <c r="F82" s="21" t="s">
        <v>112</v>
      </c>
      <c r="G82" s="21"/>
      <c r="H82" s="22"/>
      <c r="I82" s="21"/>
      <c r="J82" s="21"/>
      <c r="K82" s="19"/>
    </row>
    <row r="83" customFormat="false" ht="23.85" hidden="false" customHeight="false" outlineLevel="0" collapsed="false">
      <c r="A83" s="19" t="s">
        <v>59</v>
      </c>
      <c r="B83" s="23" t="s">
        <v>49</v>
      </c>
      <c r="C83" s="21" t="n">
        <v>2</v>
      </c>
      <c r="D83" s="19" t="s">
        <v>271</v>
      </c>
      <c r="E83" s="19" t="s">
        <v>272</v>
      </c>
      <c r="F83" s="21" t="s">
        <v>112</v>
      </c>
      <c r="G83" s="21"/>
      <c r="H83" s="22"/>
      <c r="I83" s="21"/>
      <c r="J83" s="21"/>
      <c r="K83" s="19"/>
    </row>
    <row r="84" customFormat="false" ht="15" hidden="false" customHeight="false" outlineLevel="0" collapsed="false">
      <c r="A84" s="19" t="s">
        <v>59</v>
      </c>
      <c r="B84" s="23" t="s">
        <v>49</v>
      </c>
      <c r="C84" s="21" t="n">
        <v>3</v>
      </c>
      <c r="D84" s="19" t="s">
        <v>273</v>
      </c>
      <c r="E84" s="19" t="s">
        <v>274</v>
      </c>
      <c r="F84" s="21" t="s">
        <v>112</v>
      </c>
      <c r="G84" s="21"/>
      <c r="H84" s="22"/>
      <c r="I84" s="21"/>
      <c r="J84" s="21"/>
      <c r="K84" s="19"/>
    </row>
    <row r="85" customFormat="false" ht="23.85" hidden="false" customHeight="false" outlineLevel="0" collapsed="false">
      <c r="A85" s="19" t="s">
        <v>59</v>
      </c>
      <c r="B85" s="23" t="s">
        <v>49</v>
      </c>
      <c r="C85" s="21" t="n">
        <v>4</v>
      </c>
      <c r="D85" s="19" t="s">
        <v>275</v>
      </c>
      <c r="E85" s="19" t="s">
        <v>276</v>
      </c>
      <c r="F85" s="21" t="s">
        <v>112</v>
      </c>
      <c r="G85" s="21"/>
      <c r="H85" s="22"/>
      <c r="I85" s="21"/>
      <c r="J85" s="21"/>
      <c r="K85" s="19"/>
    </row>
    <row r="86" customFormat="false" ht="23.85" hidden="false" customHeight="false" outlineLevel="0" collapsed="false">
      <c r="A86" s="19" t="s">
        <v>59</v>
      </c>
      <c r="B86" s="23" t="s">
        <v>49</v>
      </c>
      <c r="C86" s="21" t="n">
        <v>5</v>
      </c>
      <c r="D86" s="19" t="s">
        <v>277</v>
      </c>
      <c r="E86" s="19" t="s">
        <v>278</v>
      </c>
      <c r="F86" s="21" t="s">
        <v>112</v>
      </c>
      <c r="G86" s="21"/>
      <c r="H86" s="22"/>
      <c r="I86" s="21"/>
      <c r="J86" s="21"/>
      <c r="K86" s="19"/>
    </row>
    <row r="87" customFormat="false" ht="23.85" hidden="false" customHeight="false" outlineLevel="0" collapsed="false">
      <c r="A87" s="19" t="s">
        <v>59</v>
      </c>
      <c r="B87" s="23" t="s">
        <v>49</v>
      </c>
      <c r="C87" s="21" t="n">
        <v>6</v>
      </c>
      <c r="D87" s="19" t="s">
        <v>279</v>
      </c>
      <c r="E87" s="19" t="s">
        <v>280</v>
      </c>
      <c r="F87" s="21" t="s">
        <v>112</v>
      </c>
      <c r="G87" s="21"/>
      <c r="H87" s="22"/>
      <c r="I87" s="21"/>
      <c r="J87" s="21"/>
      <c r="K87" s="19"/>
    </row>
    <row r="88" customFormat="false" ht="15" hidden="false" customHeight="false" outlineLevel="0" collapsed="false">
      <c r="A88" s="19" t="s">
        <v>59</v>
      </c>
      <c r="B88" s="23" t="s">
        <v>49</v>
      </c>
      <c r="C88" s="21" t="n">
        <v>7</v>
      </c>
      <c r="D88" s="19" t="s">
        <v>281</v>
      </c>
      <c r="E88" s="19" t="s">
        <v>282</v>
      </c>
      <c r="F88" s="21" t="s">
        <v>112</v>
      </c>
      <c r="G88" s="21"/>
      <c r="H88" s="22"/>
      <c r="I88" s="21"/>
      <c r="J88" s="21"/>
      <c r="K88" s="19"/>
    </row>
    <row r="89" customFormat="false" ht="23.85" hidden="false" customHeight="false" outlineLevel="0" collapsed="false">
      <c r="A89" s="19" t="s">
        <v>59</v>
      </c>
      <c r="B89" s="23" t="s">
        <v>49</v>
      </c>
      <c r="C89" s="21" t="n">
        <v>8</v>
      </c>
      <c r="D89" s="19" t="s">
        <v>283</v>
      </c>
      <c r="E89" s="19" t="s">
        <v>284</v>
      </c>
      <c r="F89" s="21" t="s">
        <v>112</v>
      </c>
      <c r="G89" s="21"/>
      <c r="H89" s="22"/>
      <c r="I89" s="21"/>
      <c r="J89" s="21"/>
      <c r="K89" s="19"/>
    </row>
    <row r="90" customFormat="false" ht="23.85" hidden="false" customHeight="false" outlineLevel="0" collapsed="false">
      <c r="A90" s="19" t="s">
        <v>59</v>
      </c>
      <c r="B90" s="23" t="s">
        <v>49</v>
      </c>
      <c r="C90" s="21" t="n">
        <v>9</v>
      </c>
      <c r="D90" s="19" t="s">
        <v>285</v>
      </c>
      <c r="E90" s="19" t="s">
        <v>257</v>
      </c>
      <c r="F90" s="21" t="s">
        <v>112</v>
      </c>
      <c r="G90" s="21"/>
      <c r="H90" s="22"/>
      <c r="I90" s="21"/>
      <c r="J90" s="21"/>
      <c r="K90" s="19"/>
    </row>
    <row r="91" customFormat="false" ht="23.85" hidden="false" customHeight="false" outlineLevel="0" collapsed="false">
      <c r="A91" s="19" t="s">
        <v>59</v>
      </c>
      <c r="B91" s="23" t="s">
        <v>49</v>
      </c>
      <c r="C91" s="21" t="n">
        <v>10</v>
      </c>
      <c r="D91" s="19" t="s">
        <v>286</v>
      </c>
      <c r="E91" s="19" t="s">
        <v>287</v>
      </c>
      <c r="F91" s="21" t="s">
        <v>112</v>
      </c>
      <c r="G91" s="21"/>
      <c r="H91" s="22"/>
      <c r="I91" s="21"/>
      <c r="J91" s="21"/>
      <c r="K91" s="19"/>
    </row>
    <row r="92" customFormat="false" ht="23.85" hidden="false" customHeight="false" outlineLevel="0" collapsed="false">
      <c r="A92" s="19" t="s">
        <v>62</v>
      </c>
      <c r="B92" s="23" t="s">
        <v>49</v>
      </c>
      <c r="C92" s="21" t="n">
        <v>1</v>
      </c>
      <c r="D92" s="19" t="s">
        <v>288</v>
      </c>
      <c r="E92" s="19" t="s">
        <v>289</v>
      </c>
      <c r="F92" s="21" t="s">
        <v>112</v>
      </c>
      <c r="G92" s="21"/>
      <c r="H92" s="22"/>
      <c r="I92" s="21"/>
      <c r="J92" s="21"/>
      <c r="K92" s="19"/>
    </row>
    <row r="93" customFormat="false" ht="23.85" hidden="false" customHeight="false" outlineLevel="0" collapsed="false">
      <c r="A93" s="19" t="s">
        <v>62</v>
      </c>
      <c r="B93" s="23" t="s">
        <v>49</v>
      </c>
      <c r="C93" s="21" t="n">
        <v>2</v>
      </c>
      <c r="D93" s="19" t="s">
        <v>290</v>
      </c>
      <c r="E93" s="19" t="s">
        <v>291</v>
      </c>
      <c r="F93" s="21" t="s">
        <v>112</v>
      </c>
      <c r="G93" s="21"/>
      <c r="H93" s="22"/>
      <c r="I93" s="21"/>
      <c r="J93" s="21"/>
      <c r="K93" s="19"/>
    </row>
    <row r="94" customFormat="false" ht="23.85" hidden="false" customHeight="false" outlineLevel="0" collapsed="false">
      <c r="A94" s="19" t="s">
        <v>62</v>
      </c>
      <c r="B94" s="23" t="s">
        <v>49</v>
      </c>
      <c r="C94" s="21" t="n">
        <v>3</v>
      </c>
      <c r="D94" s="19" t="s">
        <v>292</v>
      </c>
      <c r="E94" s="19" t="s">
        <v>293</v>
      </c>
      <c r="F94" s="21" t="s">
        <v>112</v>
      </c>
      <c r="G94" s="21"/>
      <c r="H94" s="22"/>
      <c r="I94" s="21"/>
      <c r="J94" s="21"/>
      <c r="K94" s="19"/>
    </row>
    <row r="95" customFormat="false" ht="23.85" hidden="false" customHeight="false" outlineLevel="0" collapsed="false">
      <c r="A95" s="19" t="s">
        <v>62</v>
      </c>
      <c r="B95" s="23" t="s">
        <v>49</v>
      </c>
      <c r="C95" s="21" t="n">
        <v>4</v>
      </c>
      <c r="D95" s="19" t="s">
        <v>294</v>
      </c>
      <c r="E95" s="19" t="s">
        <v>295</v>
      </c>
      <c r="F95" s="21" t="s">
        <v>112</v>
      </c>
      <c r="G95" s="21"/>
      <c r="H95" s="22"/>
      <c r="I95" s="21"/>
      <c r="J95" s="21"/>
      <c r="K95" s="19"/>
    </row>
    <row r="96" customFormat="false" ht="23.85" hidden="false" customHeight="false" outlineLevel="0" collapsed="false">
      <c r="A96" s="19" t="s">
        <v>62</v>
      </c>
      <c r="B96" s="23" t="s">
        <v>49</v>
      </c>
      <c r="C96" s="21" t="n">
        <v>5</v>
      </c>
      <c r="D96" s="19" t="s">
        <v>296</v>
      </c>
      <c r="E96" s="19" t="s">
        <v>297</v>
      </c>
      <c r="F96" s="21" t="s">
        <v>112</v>
      </c>
      <c r="G96" s="21"/>
      <c r="H96" s="22"/>
      <c r="I96" s="21"/>
      <c r="J96" s="21"/>
      <c r="K96" s="19"/>
    </row>
    <row r="97" customFormat="false" ht="23.85" hidden="false" customHeight="false" outlineLevel="0" collapsed="false">
      <c r="A97" s="19" t="s">
        <v>62</v>
      </c>
      <c r="B97" s="23" t="s">
        <v>49</v>
      </c>
      <c r="C97" s="21" t="n">
        <v>6</v>
      </c>
      <c r="D97" s="19" t="s">
        <v>298</v>
      </c>
      <c r="E97" s="19" t="s">
        <v>299</v>
      </c>
      <c r="F97" s="21" t="s">
        <v>112</v>
      </c>
      <c r="G97" s="21"/>
      <c r="H97" s="22"/>
      <c r="I97" s="21"/>
      <c r="J97" s="21"/>
      <c r="K97" s="19"/>
    </row>
    <row r="98" customFormat="false" ht="23.85" hidden="false" customHeight="false" outlineLevel="0" collapsed="false">
      <c r="A98" s="19" t="s">
        <v>62</v>
      </c>
      <c r="B98" s="23" t="s">
        <v>49</v>
      </c>
      <c r="C98" s="21" t="n">
        <v>7</v>
      </c>
      <c r="D98" s="19" t="s">
        <v>300</v>
      </c>
      <c r="E98" s="19" t="s">
        <v>259</v>
      </c>
      <c r="F98" s="21" t="s">
        <v>112</v>
      </c>
      <c r="G98" s="21"/>
      <c r="H98" s="22"/>
      <c r="I98" s="21"/>
      <c r="J98" s="21"/>
      <c r="K98" s="19"/>
    </row>
    <row r="99" customFormat="false" ht="23.85" hidden="false" customHeight="false" outlineLevel="0" collapsed="false">
      <c r="A99" s="19" t="s">
        <v>62</v>
      </c>
      <c r="B99" s="23" t="s">
        <v>49</v>
      </c>
      <c r="C99" s="21" t="n">
        <v>8</v>
      </c>
      <c r="D99" s="19" t="s">
        <v>301</v>
      </c>
      <c r="E99" s="19" t="s">
        <v>302</v>
      </c>
      <c r="F99" s="21" t="s">
        <v>112</v>
      </c>
      <c r="G99" s="21"/>
      <c r="H99" s="22"/>
      <c r="I99" s="21"/>
      <c r="J99" s="21"/>
      <c r="K99" s="19"/>
    </row>
    <row r="100" customFormat="false" ht="15" hidden="false" customHeight="false" outlineLevel="0" collapsed="false">
      <c r="A100" s="19" t="s">
        <v>62</v>
      </c>
      <c r="B100" s="23" t="s">
        <v>49</v>
      </c>
      <c r="C100" s="21" t="n">
        <v>9</v>
      </c>
      <c r="D100" s="19" t="s">
        <v>303</v>
      </c>
      <c r="E100" s="19" t="s">
        <v>304</v>
      </c>
      <c r="F100" s="21" t="s">
        <v>112</v>
      </c>
      <c r="G100" s="21"/>
      <c r="H100" s="22"/>
      <c r="I100" s="21"/>
      <c r="J100" s="21"/>
      <c r="K100" s="19"/>
    </row>
    <row r="101" customFormat="false" ht="23.85" hidden="false" customHeight="false" outlineLevel="0" collapsed="false">
      <c r="A101" s="19" t="s">
        <v>62</v>
      </c>
      <c r="B101" s="23" t="s">
        <v>49</v>
      </c>
      <c r="C101" s="21" t="n">
        <v>10</v>
      </c>
      <c r="D101" s="19" t="s">
        <v>305</v>
      </c>
      <c r="E101" s="19" t="s">
        <v>306</v>
      </c>
      <c r="F101" s="21" t="s">
        <v>112</v>
      </c>
      <c r="G101" s="21"/>
      <c r="H101" s="22"/>
      <c r="I101" s="21"/>
      <c r="J101" s="21"/>
      <c r="K101" s="19"/>
    </row>
    <row r="102" customFormat="false" ht="23.85" hidden="false" customHeight="false" outlineLevel="0" collapsed="false">
      <c r="A102" s="19" t="s">
        <v>65</v>
      </c>
      <c r="B102" s="23" t="s">
        <v>49</v>
      </c>
      <c r="C102" s="21" t="n">
        <v>1</v>
      </c>
      <c r="D102" s="19" t="s">
        <v>307</v>
      </c>
      <c r="E102" s="19" t="s">
        <v>231</v>
      </c>
      <c r="F102" s="21" t="s">
        <v>112</v>
      </c>
      <c r="G102" s="21"/>
      <c r="H102" s="22"/>
      <c r="I102" s="21"/>
      <c r="J102" s="21"/>
      <c r="K102" s="19"/>
    </row>
    <row r="103" customFormat="false" ht="23.85" hidden="false" customHeight="false" outlineLevel="0" collapsed="false">
      <c r="A103" s="19" t="s">
        <v>65</v>
      </c>
      <c r="B103" s="23" t="s">
        <v>49</v>
      </c>
      <c r="C103" s="21" t="n">
        <v>2</v>
      </c>
      <c r="D103" s="19" t="s">
        <v>308</v>
      </c>
      <c r="E103" s="19" t="s">
        <v>309</v>
      </c>
      <c r="F103" s="21" t="s">
        <v>112</v>
      </c>
      <c r="G103" s="21"/>
      <c r="H103" s="22"/>
      <c r="I103" s="21"/>
      <c r="J103" s="21"/>
      <c r="K103" s="19"/>
    </row>
    <row r="104" customFormat="false" ht="23.85" hidden="false" customHeight="false" outlineLevel="0" collapsed="false">
      <c r="A104" s="19" t="s">
        <v>65</v>
      </c>
      <c r="B104" s="23" t="s">
        <v>49</v>
      </c>
      <c r="C104" s="21" t="n">
        <v>3</v>
      </c>
      <c r="D104" s="19" t="s">
        <v>310</v>
      </c>
      <c r="E104" s="19" t="s">
        <v>311</v>
      </c>
      <c r="F104" s="21" t="s">
        <v>112</v>
      </c>
      <c r="G104" s="21"/>
      <c r="H104" s="22"/>
      <c r="I104" s="21"/>
      <c r="J104" s="21"/>
      <c r="K104" s="19"/>
    </row>
    <row r="105" customFormat="false" ht="23.85" hidden="false" customHeight="false" outlineLevel="0" collapsed="false">
      <c r="A105" s="19" t="s">
        <v>65</v>
      </c>
      <c r="B105" s="23" t="s">
        <v>49</v>
      </c>
      <c r="C105" s="21" t="n">
        <v>4</v>
      </c>
      <c r="D105" s="19" t="s">
        <v>312</v>
      </c>
      <c r="E105" s="19" t="s">
        <v>313</v>
      </c>
      <c r="F105" s="21" t="s">
        <v>112</v>
      </c>
      <c r="G105" s="21"/>
      <c r="H105" s="22"/>
      <c r="I105" s="21"/>
      <c r="J105" s="21"/>
      <c r="K105" s="19"/>
    </row>
    <row r="106" customFormat="false" ht="23.85" hidden="false" customHeight="false" outlineLevel="0" collapsed="false">
      <c r="A106" s="19" t="s">
        <v>65</v>
      </c>
      <c r="B106" s="23" t="s">
        <v>49</v>
      </c>
      <c r="C106" s="21" t="n">
        <v>5</v>
      </c>
      <c r="D106" s="19" t="s">
        <v>314</v>
      </c>
      <c r="E106" s="19" t="s">
        <v>315</v>
      </c>
      <c r="F106" s="21" t="s">
        <v>112</v>
      </c>
      <c r="G106" s="21"/>
      <c r="H106" s="22"/>
      <c r="I106" s="21"/>
      <c r="J106" s="21"/>
      <c r="K106" s="19"/>
    </row>
    <row r="107" customFormat="false" ht="23.85" hidden="false" customHeight="false" outlineLevel="0" collapsed="false">
      <c r="A107" s="19" t="s">
        <v>65</v>
      </c>
      <c r="B107" s="23" t="s">
        <v>49</v>
      </c>
      <c r="C107" s="21" t="n">
        <v>6</v>
      </c>
      <c r="D107" s="19" t="s">
        <v>316</v>
      </c>
      <c r="E107" s="19" t="s">
        <v>311</v>
      </c>
      <c r="F107" s="21" t="s">
        <v>112</v>
      </c>
      <c r="G107" s="21"/>
      <c r="H107" s="22"/>
      <c r="I107" s="21"/>
      <c r="J107" s="21"/>
      <c r="K107" s="19"/>
    </row>
    <row r="108" customFormat="false" ht="23.85" hidden="false" customHeight="false" outlineLevel="0" collapsed="false">
      <c r="A108" s="19" t="s">
        <v>65</v>
      </c>
      <c r="B108" s="23" t="s">
        <v>49</v>
      </c>
      <c r="C108" s="21" t="n">
        <v>7</v>
      </c>
      <c r="D108" s="19" t="s">
        <v>317</v>
      </c>
      <c r="E108" s="19" t="s">
        <v>257</v>
      </c>
      <c r="F108" s="21" t="s">
        <v>112</v>
      </c>
      <c r="G108" s="21"/>
      <c r="H108" s="22"/>
      <c r="I108" s="21"/>
      <c r="J108" s="21"/>
      <c r="K108" s="19"/>
    </row>
    <row r="109" customFormat="false" ht="23.85" hidden="false" customHeight="false" outlineLevel="0" collapsed="false">
      <c r="A109" s="19" t="s">
        <v>65</v>
      </c>
      <c r="B109" s="23" t="s">
        <v>49</v>
      </c>
      <c r="C109" s="21" t="n">
        <v>8</v>
      </c>
      <c r="D109" s="19" t="s">
        <v>318</v>
      </c>
      <c r="E109" s="19" t="s">
        <v>257</v>
      </c>
      <c r="F109" s="21" t="s">
        <v>112</v>
      </c>
      <c r="G109" s="21"/>
      <c r="H109" s="22"/>
      <c r="I109" s="21"/>
      <c r="J109" s="21"/>
      <c r="K109" s="19"/>
    </row>
    <row r="110" customFormat="false" ht="23.85" hidden="false" customHeight="false" outlineLevel="0" collapsed="false">
      <c r="A110" s="19" t="s">
        <v>65</v>
      </c>
      <c r="B110" s="23" t="s">
        <v>49</v>
      </c>
      <c r="C110" s="21" t="n">
        <v>9</v>
      </c>
      <c r="D110" s="19" t="s">
        <v>319</v>
      </c>
      <c r="E110" s="19" t="s">
        <v>235</v>
      </c>
      <c r="F110" s="21" t="s">
        <v>112</v>
      </c>
      <c r="G110" s="21"/>
      <c r="H110" s="22"/>
      <c r="I110" s="21"/>
      <c r="J110" s="21"/>
      <c r="K110" s="19"/>
    </row>
    <row r="111" customFormat="false" ht="23.85" hidden="false" customHeight="false" outlineLevel="0" collapsed="false">
      <c r="A111" s="19" t="s">
        <v>65</v>
      </c>
      <c r="B111" s="23" t="s">
        <v>49</v>
      </c>
      <c r="C111" s="21" t="n">
        <v>10</v>
      </c>
      <c r="D111" s="19" t="s">
        <v>320</v>
      </c>
      <c r="E111" s="19" t="s">
        <v>321</v>
      </c>
      <c r="F111" s="21" t="s">
        <v>112</v>
      </c>
      <c r="G111" s="21"/>
      <c r="H111" s="22"/>
      <c r="I111" s="21"/>
      <c r="J111" s="21"/>
      <c r="K111" s="19"/>
    </row>
    <row r="112" customFormat="false" ht="15" hidden="false" customHeight="false" outlineLevel="0" collapsed="false">
      <c r="A112" s="19" t="s">
        <v>69</v>
      </c>
      <c r="B112" s="23" t="s">
        <v>49</v>
      </c>
      <c r="C112" s="21" t="n">
        <v>1</v>
      </c>
      <c r="D112" s="19" t="s">
        <v>322</v>
      </c>
      <c r="E112" s="19" t="s">
        <v>323</v>
      </c>
      <c r="F112" s="21" t="s">
        <v>112</v>
      </c>
      <c r="G112" s="21"/>
      <c r="H112" s="22"/>
      <c r="I112" s="21"/>
      <c r="J112" s="21"/>
      <c r="K112" s="19"/>
    </row>
    <row r="113" customFormat="false" ht="23.85" hidden="false" customHeight="false" outlineLevel="0" collapsed="false">
      <c r="A113" s="19" t="s">
        <v>69</v>
      </c>
      <c r="B113" s="23" t="s">
        <v>49</v>
      </c>
      <c r="C113" s="21" t="n">
        <v>2</v>
      </c>
      <c r="D113" s="19" t="s">
        <v>324</v>
      </c>
      <c r="E113" s="19" t="s">
        <v>257</v>
      </c>
      <c r="F113" s="21" t="s">
        <v>112</v>
      </c>
      <c r="G113" s="21"/>
      <c r="H113" s="22"/>
      <c r="I113" s="21"/>
      <c r="J113" s="21"/>
      <c r="K113" s="19"/>
    </row>
    <row r="114" customFormat="false" ht="15" hidden="false" customHeight="false" outlineLevel="0" collapsed="false">
      <c r="A114" s="19" t="s">
        <v>69</v>
      </c>
      <c r="B114" s="23" t="s">
        <v>49</v>
      </c>
      <c r="C114" s="21" t="n">
        <v>3</v>
      </c>
      <c r="D114" s="19" t="s">
        <v>325</v>
      </c>
      <c r="E114" s="19" t="s">
        <v>326</v>
      </c>
      <c r="F114" s="21" t="s">
        <v>112</v>
      </c>
      <c r="G114" s="21"/>
      <c r="H114" s="22"/>
      <c r="I114" s="21"/>
      <c r="J114" s="21"/>
      <c r="K114" s="19"/>
    </row>
    <row r="115" customFormat="false" ht="23.85" hidden="false" customHeight="false" outlineLevel="0" collapsed="false">
      <c r="A115" s="19" t="s">
        <v>69</v>
      </c>
      <c r="B115" s="23" t="s">
        <v>49</v>
      </c>
      <c r="C115" s="21" t="n">
        <v>4</v>
      </c>
      <c r="D115" s="19" t="s">
        <v>327</v>
      </c>
      <c r="E115" s="19" t="s">
        <v>328</v>
      </c>
      <c r="F115" s="21" t="s">
        <v>112</v>
      </c>
      <c r="G115" s="21"/>
      <c r="H115" s="22"/>
      <c r="I115" s="21"/>
      <c r="J115" s="21"/>
      <c r="K115" s="19"/>
    </row>
    <row r="116" customFormat="false" ht="23.85" hidden="false" customHeight="false" outlineLevel="0" collapsed="false">
      <c r="A116" s="19" t="s">
        <v>69</v>
      </c>
      <c r="B116" s="23" t="s">
        <v>49</v>
      </c>
      <c r="C116" s="21" t="n">
        <v>5</v>
      </c>
      <c r="D116" s="19" t="s">
        <v>329</v>
      </c>
      <c r="E116" s="19" t="s">
        <v>330</v>
      </c>
      <c r="F116" s="21" t="s">
        <v>112</v>
      </c>
      <c r="G116" s="21"/>
      <c r="H116" s="22"/>
      <c r="I116" s="21"/>
      <c r="J116" s="21"/>
      <c r="K116" s="19"/>
    </row>
    <row r="117" customFormat="false" ht="15" hidden="false" customHeight="false" outlineLevel="0" collapsed="false">
      <c r="A117" s="19" t="s">
        <v>69</v>
      </c>
      <c r="B117" s="23" t="s">
        <v>49</v>
      </c>
      <c r="C117" s="21" t="n">
        <v>6</v>
      </c>
      <c r="D117" s="19" t="s">
        <v>331</v>
      </c>
      <c r="E117" s="19" t="s">
        <v>332</v>
      </c>
      <c r="F117" s="21" t="s">
        <v>112</v>
      </c>
      <c r="G117" s="21"/>
      <c r="H117" s="22"/>
      <c r="I117" s="21"/>
      <c r="J117" s="21"/>
      <c r="K117" s="19"/>
    </row>
    <row r="118" customFormat="false" ht="23.85" hidden="false" customHeight="false" outlineLevel="0" collapsed="false">
      <c r="A118" s="19" t="s">
        <v>69</v>
      </c>
      <c r="B118" s="23" t="s">
        <v>49</v>
      </c>
      <c r="C118" s="21" t="n">
        <v>7</v>
      </c>
      <c r="D118" s="19" t="s">
        <v>333</v>
      </c>
      <c r="E118" s="19" t="s">
        <v>280</v>
      </c>
      <c r="F118" s="21" t="s">
        <v>112</v>
      </c>
      <c r="G118" s="21"/>
      <c r="H118" s="22"/>
      <c r="I118" s="21"/>
      <c r="J118" s="21"/>
      <c r="K118" s="19"/>
    </row>
    <row r="119" customFormat="false" ht="23.85" hidden="false" customHeight="false" outlineLevel="0" collapsed="false">
      <c r="A119" s="19" t="s">
        <v>69</v>
      </c>
      <c r="B119" s="23" t="s">
        <v>49</v>
      </c>
      <c r="C119" s="21" t="n">
        <v>8</v>
      </c>
      <c r="D119" s="19" t="s">
        <v>334</v>
      </c>
      <c r="E119" s="19" t="s">
        <v>328</v>
      </c>
      <c r="F119" s="21" t="s">
        <v>112</v>
      </c>
      <c r="G119" s="21"/>
      <c r="H119" s="22"/>
      <c r="I119" s="21"/>
      <c r="J119" s="21"/>
      <c r="K119" s="19"/>
    </row>
    <row r="120" customFormat="false" ht="23.85" hidden="false" customHeight="false" outlineLevel="0" collapsed="false">
      <c r="A120" s="19" t="s">
        <v>69</v>
      </c>
      <c r="B120" s="23" t="s">
        <v>49</v>
      </c>
      <c r="C120" s="21" t="n">
        <v>9</v>
      </c>
      <c r="D120" s="19" t="s">
        <v>335</v>
      </c>
      <c r="E120" s="19" t="s">
        <v>336</v>
      </c>
      <c r="F120" s="21" t="s">
        <v>112</v>
      </c>
      <c r="G120" s="21"/>
      <c r="H120" s="22"/>
      <c r="I120" s="21"/>
      <c r="J120" s="21"/>
      <c r="K120" s="19"/>
    </row>
    <row r="121" customFormat="false" ht="23.85" hidden="false" customHeight="false" outlineLevel="0" collapsed="false">
      <c r="A121" s="19" t="s">
        <v>69</v>
      </c>
      <c r="B121" s="23" t="s">
        <v>49</v>
      </c>
      <c r="C121" s="21" t="n">
        <v>10</v>
      </c>
      <c r="D121" s="19" t="s">
        <v>337</v>
      </c>
      <c r="E121" s="19" t="s">
        <v>247</v>
      </c>
      <c r="F121" s="21" t="s">
        <v>112</v>
      </c>
      <c r="G121" s="21"/>
      <c r="H121" s="22"/>
      <c r="I121" s="21"/>
      <c r="J121" s="21"/>
      <c r="K121" s="19"/>
    </row>
    <row r="122" customFormat="false" ht="23.85" hidden="false" customHeight="false" outlineLevel="0" collapsed="false">
      <c r="A122" s="19" t="s">
        <v>72</v>
      </c>
      <c r="B122" s="23" t="s">
        <v>49</v>
      </c>
      <c r="C122" s="21" t="n">
        <v>1</v>
      </c>
      <c r="D122" s="19" t="s">
        <v>338</v>
      </c>
      <c r="E122" s="19" t="s">
        <v>339</v>
      </c>
      <c r="F122" s="21" t="s">
        <v>112</v>
      </c>
      <c r="G122" s="21"/>
      <c r="H122" s="22"/>
      <c r="I122" s="21"/>
      <c r="J122" s="21"/>
      <c r="K122" s="19"/>
    </row>
    <row r="123" customFormat="false" ht="23.85" hidden="false" customHeight="false" outlineLevel="0" collapsed="false">
      <c r="A123" s="19" t="s">
        <v>72</v>
      </c>
      <c r="B123" s="23" t="s">
        <v>49</v>
      </c>
      <c r="C123" s="21" t="n">
        <v>2</v>
      </c>
      <c r="D123" s="19" t="s">
        <v>340</v>
      </c>
      <c r="E123" s="19" t="s">
        <v>311</v>
      </c>
      <c r="F123" s="21" t="s">
        <v>112</v>
      </c>
      <c r="G123" s="21"/>
      <c r="H123" s="22"/>
      <c r="I123" s="21"/>
      <c r="J123" s="21"/>
      <c r="K123" s="19"/>
    </row>
    <row r="124" customFormat="false" ht="23.85" hidden="false" customHeight="false" outlineLevel="0" collapsed="false">
      <c r="A124" s="19" t="s">
        <v>72</v>
      </c>
      <c r="B124" s="23" t="s">
        <v>49</v>
      </c>
      <c r="C124" s="21" t="n">
        <v>3</v>
      </c>
      <c r="D124" s="19" t="s">
        <v>341</v>
      </c>
      <c r="E124" s="19" t="s">
        <v>342</v>
      </c>
      <c r="F124" s="21" t="s">
        <v>112</v>
      </c>
      <c r="G124" s="21"/>
      <c r="H124" s="22"/>
      <c r="I124" s="21"/>
      <c r="J124" s="21"/>
      <c r="K124" s="19"/>
    </row>
    <row r="125" customFormat="false" ht="23.85" hidden="false" customHeight="false" outlineLevel="0" collapsed="false">
      <c r="A125" s="19" t="s">
        <v>72</v>
      </c>
      <c r="B125" s="23" t="s">
        <v>49</v>
      </c>
      <c r="C125" s="21" t="n">
        <v>4</v>
      </c>
      <c r="D125" s="19" t="s">
        <v>343</v>
      </c>
      <c r="E125" s="19" t="s">
        <v>344</v>
      </c>
      <c r="F125" s="21" t="s">
        <v>112</v>
      </c>
      <c r="G125" s="21"/>
      <c r="H125" s="22"/>
      <c r="I125" s="21"/>
      <c r="J125" s="21"/>
      <c r="K125" s="19"/>
    </row>
    <row r="126" customFormat="false" ht="23.85" hidden="false" customHeight="false" outlineLevel="0" collapsed="false">
      <c r="A126" s="19" t="s">
        <v>72</v>
      </c>
      <c r="B126" s="23" t="s">
        <v>49</v>
      </c>
      <c r="C126" s="21" t="n">
        <v>5</v>
      </c>
      <c r="D126" s="19" t="s">
        <v>345</v>
      </c>
      <c r="E126" s="19" t="s">
        <v>346</v>
      </c>
      <c r="F126" s="21" t="s">
        <v>112</v>
      </c>
      <c r="G126" s="21"/>
      <c r="H126" s="22"/>
      <c r="I126" s="21"/>
      <c r="J126" s="21"/>
      <c r="K126" s="19"/>
    </row>
    <row r="127" customFormat="false" ht="23.85" hidden="false" customHeight="false" outlineLevel="0" collapsed="false">
      <c r="A127" s="19" t="s">
        <v>72</v>
      </c>
      <c r="B127" s="23" t="s">
        <v>49</v>
      </c>
      <c r="C127" s="21" t="n">
        <v>6</v>
      </c>
      <c r="D127" s="19" t="s">
        <v>347</v>
      </c>
      <c r="E127" s="19" t="s">
        <v>257</v>
      </c>
      <c r="F127" s="21" t="s">
        <v>112</v>
      </c>
      <c r="G127" s="21"/>
      <c r="H127" s="22"/>
      <c r="I127" s="21"/>
      <c r="J127" s="21"/>
      <c r="K127" s="19"/>
    </row>
    <row r="128" customFormat="false" ht="15" hidden="false" customHeight="false" outlineLevel="0" collapsed="false">
      <c r="A128" s="19" t="s">
        <v>72</v>
      </c>
      <c r="B128" s="23" t="s">
        <v>49</v>
      </c>
      <c r="C128" s="21" t="n">
        <v>7</v>
      </c>
      <c r="D128" s="19" t="s">
        <v>348</v>
      </c>
      <c r="E128" s="19" t="s">
        <v>304</v>
      </c>
      <c r="F128" s="21" t="s">
        <v>112</v>
      </c>
      <c r="G128" s="21"/>
      <c r="H128" s="22"/>
      <c r="I128" s="21"/>
      <c r="J128" s="21"/>
      <c r="K128" s="19"/>
    </row>
    <row r="129" customFormat="false" ht="23.85" hidden="false" customHeight="false" outlineLevel="0" collapsed="false">
      <c r="A129" s="19" t="s">
        <v>72</v>
      </c>
      <c r="B129" s="23" t="s">
        <v>49</v>
      </c>
      <c r="C129" s="21" t="n">
        <v>8</v>
      </c>
      <c r="D129" s="19" t="s">
        <v>349</v>
      </c>
      <c r="E129" s="19" t="s">
        <v>257</v>
      </c>
      <c r="F129" s="21" t="s">
        <v>112</v>
      </c>
      <c r="G129" s="21"/>
      <c r="H129" s="22"/>
      <c r="I129" s="21"/>
      <c r="J129" s="21"/>
      <c r="K129" s="19"/>
    </row>
    <row r="130" customFormat="false" ht="23.85" hidden="false" customHeight="false" outlineLevel="0" collapsed="false">
      <c r="A130" s="19" t="s">
        <v>72</v>
      </c>
      <c r="B130" s="23" t="s">
        <v>49</v>
      </c>
      <c r="C130" s="21" t="n">
        <v>9</v>
      </c>
      <c r="D130" s="19" t="s">
        <v>350</v>
      </c>
      <c r="E130" s="19" t="s">
        <v>351</v>
      </c>
      <c r="F130" s="21" t="s">
        <v>112</v>
      </c>
      <c r="G130" s="21"/>
      <c r="H130" s="22"/>
      <c r="I130" s="21"/>
      <c r="J130" s="21"/>
      <c r="K130" s="19"/>
    </row>
    <row r="131" customFormat="false" ht="23.85" hidden="false" customHeight="false" outlineLevel="0" collapsed="false">
      <c r="A131" s="19" t="s">
        <v>72</v>
      </c>
      <c r="B131" s="23" t="s">
        <v>49</v>
      </c>
      <c r="C131" s="21" t="n">
        <v>10</v>
      </c>
      <c r="D131" s="19" t="s">
        <v>352</v>
      </c>
      <c r="E131" s="19" t="s">
        <v>257</v>
      </c>
      <c r="F131" s="21" t="s">
        <v>112</v>
      </c>
      <c r="G131" s="21"/>
      <c r="H131" s="22"/>
      <c r="I131" s="21"/>
      <c r="J131" s="21"/>
      <c r="K131" s="19"/>
    </row>
    <row r="132" customFormat="false" ht="23.85" hidden="false" customHeight="false" outlineLevel="0" collapsed="false">
      <c r="A132" s="19" t="s">
        <v>75</v>
      </c>
      <c r="B132" s="23" t="s">
        <v>49</v>
      </c>
      <c r="C132" s="21" t="n">
        <v>1</v>
      </c>
      <c r="D132" s="19" t="s">
        <v>353</v>
      </c>
      <c r="E132" s="19" t="s">
        <v>354</v>
      </c>
      <c r="F132" s="21" t="s">
        <v>112</v>
      </c>
      <c r="G132" s="21"/>
      <c r="H132" s="22"/>
      <c r="I132" s="21"/>
      <c r="J132" s="21"/>
      <c r="K132" s="19"/>
    </row>
    <row r="133" customFormat="false" ht="23.85" hidden="false" customHeight="false" outlineLevel="0" collapsed="false">
      <c r="A133" s="19" t="s">
        <v>75</v>
      </c>
      <c r="B133" s="23" t="s">
        <v>49</v>
      </c>
      <c r="C133" s="21" t="n">
        <v>2</v>
      </c>
      <c r="D133" s="19" t="s">
        <v>355</v>
      </c>
      <c r="E133" s="19" t="s">
        <v>356</v>
      </c>
      <c r="F133" s="21" t="s">
        <v>112</v>
      </c>
      <c r="G133" s="21"/>
      <c r="H133" s="22"/>
      <c r="I133" s="21"/>
      <c r="J133" s="21"/>
      <c r="K133" s="19"/>
    </row>
    <row r="134" customFormat="false" ht="23.85" hidden="false" customHeight="false" outlineLevel="0" collapsed="false">
      <c r="A134" s="19" t="s">
        <v>75</v>
      </c>
      <c r="B134" s="23" t="s">
        <v>49</v>
      </c>
      <c r="C134" s="21" t="n">
        <v>3</v>
      </c>
      <c r="D134" s="19" t="s">
        <v>357</v>
      </c>
      <c r="E134" s="19" t="s">
        <v>358</v>
      </c>
      <c r="F134" s="21" t="s">
        <v>112</v>
      </c>
      <c r="G134" s="21"/>
      <c r="H134" s="22"/>
      <c r="I134" s="21"/>
      <c r="J134" s="21"/>
      <c r="K134" s="19"/>
    </row>
    <row r="135" customFormat="false" ht="15" hidden="false" customHeight="false" outlineLevel="0" collapsed="false">
      <c r="A135" s="19" t="s">
        <v>75</v>
      </c>
      <c r="B135" s="23" t="s">
        <v>49</v>
      </c>
      <c r="C135" s="21" t="n">
        <v>4</v>
      </c>
      <c r="D135" s="19" t="s">
        <v>359</v>
      </c>
      <c r="E135" s="19" t="s">
        <v>360</v>
      </c>
      <c r="F135" s="21" t="s">
        <v>112</v>
      </c>
      <c r="G135" s="21"/>
      <c r="H135" s="22"/>
      <c r="I135" s="21"/>
      <c r="J135" s="21"/>
      <c r="K135" s="19"/>
    </row>
    <row r="136" customFormat="false" ht="23.85" hidden="false" customHeight="false" outlineLevel="0" collapsed="false">
      <c r="A136" s="19" t="s">
        <v>75</v>
      </c>
      <c r="B136" s="23" t="s">
        <v>49</v>
      </c>
      <c r="C136" s="21" t="n">
        <v>5</v>
      </c>
      <c r="D136" s="19" t="s">
        <v>361</v>
      </c>
      <c r="E136" s="19" t="s">
        <v>358</v>
      </c>
      <c r="F136" s="21" t="s">
        <v>112</v>
      </c>
      <c r="G136" s="21"/>
      <c r="H136" s="22"/>
      <c r="I136" s="21"/>
      <c r="J136" s="21"/>
      <c r="K136" s="19"/>
    </row>
    <row r="137" customFormat="false" ht="15" hidden="false" customHeight="false" outlineLevel="0" collapsed="false">
      <c r="A137" s="19" t="s">
        <v>75</v>
      </c>
      <c r="B137" s="23" t="s">
        <v>49</v>
      </c>
      <c r="C137" s="21" t="n">
        <v>6</v>
      </c>
      <c r="D137" s="19" t="s">
        <v>362</v>
      </c>
      <c r="E137" s="19" t="s">
        <v>354</v>
      </c>
      <c r="F137" s="21" t="s">
        <v>112</v>
      </c>
      <c r="G137" s="21"/>
      <c r="H137" s="22"/>
      <c r="I137" s="21"/>
      <c r="J137" s="21"/>
      <c r="K137" s="19"/>
    </row>
    <row r="138" customFormat="false" ht="15" hidden="false" customHeight="false" outlineLevel="0" collapsed="false">
      <c r="A138" s="19" t="s">
        <v>75</v>
      </c>
      <c r="B138" s="23" t="s">
        <v>49</v>
      </c>
      <c r="C138" s="21" t="n">
        <v>7</v>
      </c>
      <c r="D138" s="19" t="s">
        <v>363</v>
      </c>
      <c r="E138" s="19" t="s">
        <v>356</v>
      </c>
      <c r="F138" s="21" t="s">
        <v>112</v>
      </c>
      <c r="G138" s="21"/>
      <c r="H138" s="22"/>
      <c r="I138" s="21"/>
      <c r="J138" s="21"/>
      <c r="K138" s="19"/>
    </row>
    <row r="139" customFormat="false" ht="23.85" hidden="false" customHeight="false" outlineLevel="0" collapsed="false">
      <c r="A139" s="19" t="s">
        <v>75</v>
      </c>
      <c r="B139" s="23" t="s">
        <v>49</v>
      </c>
      <c r="C139" s="21" t="n">
        <v>8</v>
      </c>
      <c r="D139" s="19" t="s">
        <v>364</v>
      </c>
      <c r="E139" s="19" t="s">
        <v>354</v>
      </c>
      <c r="F139" s="21" t="s">
        <v>112</v>
      </c>
      <c r="G139" s="21"/>
      <c r="H139" s="22"/>
      <c r="I139" s="21"/>
      <c r="J139" s="21"/>
      <c r="K139" s="19"/>
    </row>
    <row r="140" customFormat="false" ht="23.85" hidden="false" customHeight="false" outlineLevel="0" collapsed="false">
      <c r="A140" s="19" t="s">
        <v>75</v>
      </c>
      <c r="B140" s="23" t="s">
        <v>49</v>
      </c>
      <c r="C140" s="21" t="n">
        <v>9</v>
      </c>
      <c r="D140" s="19" t="s">
        <v>365</v>
      </c>
      <c r="E140" s="19" t="s">
        <v>358</v>
      </c>
      <c r="F140" s="21" t="s">
        <v>112</v>
      </c>
      <c r="G140" s="21"/>
      <c r="H140" s="22"/>
      <c r="I140" s="21"/>
      <c r="J140" s="21"/>
      <c r="K140" s="19"/>
    </row>
    <row r="141" customFormat="false" ht="23.85" hidden="false" customHeight="false" outlineLevel="0" collapsed="false">
      <c r="A141" s="19" t="s">
        <v>75</v>
      </c>
      <c r="B141" s="23" t="s">
        <v>49</v>
      </c>
      <c r="C141" s="21" t="n">
        <v>10</v>
      </c>
      <c r="D141" s="19" t="s">
        <v>366</v>
      </c>
      <c r="E141" s="19" t="s">
        <v>297</v>
      </c>
      <c r="F141" s="21" t="s">
        <v>112</v>
      </c>
      <c r="G141" s="21"/>
      <c r="H141" s="22"/>
      <c r="I141" s="21"/>
      <c r="J141" s="21"/>
      <c r="K141" s="19"/>
    </row>
    <row r="142" customFormat="false" ht="23.85" hidden="false" customHeight="false" outlineLevel="0" collapsed="false">
      <c r="A142" s="19" t="s">
        <v>78</v>
      </c>
      <c r="B142" s="23" t="s">
        <v>49</v>
      </c>
      <c r="C142" s="21" t="n">
        <v>1</v>
      </c>
      <c r="D142" s="19" t="s">
        <v>367</v>
      </c>
      <c r="E142" s="19" t="s">
        <v>368</v>
      </c>
      <c r="F142" s="21" t="s">
        <v>112</v>
      </c>
      <c r="G142" s="21"/>
      <c r="H142" s="22"/>
      <c r="I142" s="21"/>
      <c r="J142" s="21"/>
      <c r="K142" s="19"/>
    </row>
    <row r="143" customFormat="false" ht="23.85" hidden="false" customHeight="false" outlineLevel="0" collapsed="false">
      <c r="A143" s="19" t="s">
        <v>78</v>
      </c>
      <c r="B143" s="23" t="s">
        <v>49</v>
      </c>
      <c r="C143" s="21" t="n">
        <v>2</v>
      </c>
      <c r="D143" s="19" t="s">
        <v>369</v>
      </c>
      <c r="E143" s="19" t="s">
        <v>354</v>
      </c>
      <c r="F143" s="21" t="s">
        <v>112</v>
      </c>
      <c r="G143" s="21"/>
      <c r="H143" s="22"/>
      <c r="I143" s="21"/>
      <c r="J143" s="21"/>
      <c r="K143" s="19"/>
    </row>
    <row r="144" customFormat="false" ht="23.85" hidden="false" customHeight="false" outlineLevel="0" collapsed="false">
      <c r="A144" s="19" t="s">
        <v>78</v>
      </c>
      <c r="B144" s="23" t="s">
        <v>49</v>
      </c>
      <c r="C144" s="21" t="n">
        <v>3</v>
      </c>
      <c r="D144" s="19" t="s">
        <v>370</v>
      </c>
      <c r="E144" s="19" t="s">
        <v>371</v>
      </c>
      <c r="F144" s="21" t="s">
        <v>112</v>
      </c>
      <c r="G144" s="21"/>
      <c r="H144" s="22"/>
      <c r="I144" s="21"/>
      <c r="J144" s="21"/>
      <c r="K144" s="19"/>
    </row>
    <row r="145" customFormat="false" ht="23.85" hidden="false" customHeight="false" outlineLevel="0" collapsed="false">
      <c r="A145" s="19" t="s">
        <v>78</v>
      </c>
      <c r="B145" s="23" t="s">
        <v>49</v>
      </c>
      <c r="C145" s="21" t="n">
        <v>4</v>
      </c>
      <c r="D145" s="19" t="s">
        <v>372</v>
      </c>
      <c r="E145" s="19" t="s">
        <v>360</v>
      </c>
      <c r="F145" s="21" t="s">
        <v>112</v>
      </c>
      <c r="G145" s="21"/>
      <c r="H145" s="22"/>
      <c r="I145" s="21"/>
      <c r="J145" s="21"/>
      <c r="K145" s="19"/>
    </row>
    <row r="146" customFormat="false" ht="23.85" hidden="false" customHeight="false" outlineLevel="0" collapsed="false">
      <c r="A146" s="19" t="s">
        <v>78</v>
      </c>
      <c r="B146" s="23" t="s">
        <v>49</v>
      </c>
      <c r="C146" s="21" t="n">
        <v>5</v>
      </c>
      <c r="D146" s="19" t="s">
        <v>373</v>
      </c>
      <c r="E146" s="19" t="s">
        <v>374</v>
      </c>
      <c r="F146" s="21" t="s">
        <v>112</v>
      </c>
      <c r="G146" s="21"/>
      <c r="H146" s="22"/>
      <c r="I146" s="21"/>
      <c r="J146" s="21"/>
      <c r="K146" s="19"/>
    </row>
    <row r="147" customFormat="false" ht="23.85" hidden="false" customHeight="false" outlineLevel="0" collapsed="false">
      <c r="A147" s="19" t="s">
        <v>78</v>
      </c>
      <c r="B147" s="23" t="s">
        <v>49</v>
      </c>
      <c r="C147" s="21" t="n">
        <v>6</v>
      </c>
      <c r="D147" s="19" t="s">
        <v>375</v>
      </c>
      <c r="E147" s="19" t="s">
        <v>354</v>
      </c>
      <c r="F147" s="21" t="s">
        <v>112</v>
      </c>
      <c r="G147" s="21"/>
      <c r="H147" s="22"/>
      <c r="I147" s="21"/>
      <c r="J147" s="21"/>
      <c r="K147" s="19"/>
    </row>
    <row r="148" customFormat="false" ht="23.85" hidden="false" customHeight="false" outlineLevel="0" collapsed="false">
      <c r="A148" s="19" t="s">
        <v>78</v>
      </c>
      <c r="B148" s="23" t="s">
        <v>49</v>
      </c>
      <c r="C148" s="21" t="n">
        <v>7</v>
      </c>
      <c r="D148" s="19" t="s">
        <v>376</v>
      </c>
      <c r="E148" s="19" t="s">
        <v>356</v>
      </c>
      <c r="F148" s="21" t="s">
        <v>112</v>
      </c>
      <c r="G148" s="21"/>
      <c r="H148" s="22"/>
      <c r="I148" s="21"/>
      <c r="J148" s="21"/>
      <c r="K148" s="19"/>
    </row>
    <row r="149" customFormat="false" ht="23.85" hidden="false" customHeight="false" outlineLevel="0" collapsed="false">
      <c r="A149" s="19" t="s">
        <v>78</v>
      </c>
      <c r="B149" s="23" t="s">
        <v>49</v>
      </c>
      <c r="C149" s="21" t="n">
        <v>8</v>
      </c>
      <c r="D149" s="19" t="s">
        <v>377</v>
      </c>
      <c r="E149" s="19" t="s">
        <v>354</v>
      </c>
      <c r="F149" s="21" t="s">
        <v>112</v>
      </c>
      <c r="G149" s="21"/>
      <c r="H149" s="22"/>
      <c r="I149" s="21"/>
      <c r="J149" s="21"/>
      <c r="K149" s="19"/>
    </row>
    <row r="150" customFormat="false" ht="23.85" hidden="false" customHeight="false" outlineLevel="0" collapsed="false">
      <c r="A150" s="19" t="s">
        <v>78</v>
      </c>
      <c r="B150" s="23" t="s">
        <v>49</v>
      </c>
      <c r="C150" s="21" t="n">
        <v>9</v>
      </c>
      <c r="D150" s="19" t="s">
        <v>378</v>
      </c>
      <c r="E150" s="19" t="s">
        <v>257</v>
      </c>
      <c r="F150" s="21" t="s">
        <v>112</v>
      </c>
      <c r="G150" s="21"/>
      <c r="H150" s="22"/>
      <c r="I150" s="21"/>
      <c r="J150" s="21"/>
      <c r="K150" s="19"/>
    </row>
    <row r="151" customFormat="false" ht="23.85" hidden="false" customHeight="false" outlineLevel="0" collapsed="false">
      <c r="A151" s="19" t="s">
        <v>78</v>
      </c>
      <c r="B151" s="23" t="s">
        <v>49</v>
      </c>
      <c r="C151" s="21" t="n">
        <v>10</v>
      </c>
      <c r="D151" s="19" t="s">
        <v>379</v>
      </c>
      <c r="E151" s="19" t="s">
        <v>304</v>
      </c>
      <c r="F151" s="21" t="s">
        <v>112</v>
      </c>
      <c r="G151" s="21"/>
      <c r="H151" s="22"/>
      <c r="I151" s="21"/>
      <c r="J151" s="21"/>
      <c r="K151" s="19"/>
    </row>
    <row r="152" customFormat="false" ht="23.85" hidden="false" customHeight="false" outlineLevel="0" collapsed="false">
      <c r="A152" s="19" t="s">
        <v>81</v>
      </c>
      <c r="B152" s="23" t="s">
        <v>49</v>
      </c>
      <c r="C152" s="21" t="n">
        <v>1</v>
      </c>
      <c r="D152" s="19" t="s">
        <v>380</v>
      </c>
      <c r="E152" s="19" t="s">
        <v>371</v>
      </c>
      <c r="F152" s="21" t="s">
        <v>112</v>
      </c>
      <c r="G152" s="21"/>
      <c r="H152" s="22"/>
      <c r="I152" s="21"/>
      <c r="J152" s="21"/>
      <c r="K152" s="19"/>
    </row>
    <row r="153" customFormat="false" ht="23.85" hidden="false" customHeight="false" outlineLevel="0" collapsed="false">
      <c r="A153" s="19" t="s">
        <v>81</v>
      </c>
      <c r="B153" s="23" t="s">
        <v>49</v>
      </c>
      <c r="C153" s="21" t="n">
        <v>2</v>
      </c>
      <c r="D153" s="19" t="s">
        <v>381</v>
      </c>
      <c r="E153" s="19" t="s">
        <v>382</v>
      </c>
      <c r="F153" s="21" t="s">
        <v>112</v>
      </c>
      <c r="G153" s="21"/>
      <c r="H153" s="22"/>
      <c r="I153" s="21"/>
      <c r="J153" s="21"/>
      <c r="K153" s="19"/>
    </row>
    <row r="154" customFormat="false" ht="15" hidden="false" customHeight="false" outlineLevel="0" collapsed="false">
      <c r="A154" s="19" t="s">
        <v>81</v>
      </c>
      <c r="B154" s="23" t="s">
        <v>49</v>
      </c>
      <c r="C154" s="21" t="n">
        <v>3</v>
      </c>
      <c r="D154" s="19" t="s">
        <v>383</v>
      </c>
      <c r="E154" s="19" t="s">
        <v>360</v>
      </c>
      <c r="F154" s="21" t="s">
        <v>112</v>
      </c>
      <c r="G154" s="21"/>
      <c r="H154" s="22"/>
      <c r="I154" s="21"/>
      <c r="J154" s="21"/>
      <c r="K154" s="19"/>
    </row>
    <row r="155" customFormat="false" ht="23.85" hidden="false" customHeight="false" outlineLevel="0" collapsed="false">
      <c r="A155" s="19" t="s">
        <v>81</v>
      </c>
      <c r="B155" s="23" t="s">
        <v>49</v>
      </c>
      <c r="C155" s="21" t="n">
        <v>4</v>
      </c>
      <c r="D155" s="19" t="s">
        <v>384</v>
      </c>
      <c r="E155" s="19" t="s">
        <v>360</v>
      </c>
      <c r="F155" s="21" t="s">
        <v>112</v>
      </c>
      <c r="G155" s="21"/>
      <c r="H155" s="22"/>
      <c r="I155" s="21"/>
      <c r="J155" s="21"/>
      <c r="K155" s="19"/>
    </row>
    <row r="156" customFormat="false" ht="23.85" hidden="false" customHeight="false" outlineLevel="0" collapsed="false">
      <c r="A156" s="19" t="s">
        <v>81</v>
      </c>
      <c r="B156" s="23" t="s">
        <v>49</v>
      </c>
      <c r="C156" s="21" t="n">
        <v>5</v>
      </c>
      <c r="D156" s="19" t="s">
        <v>385</v>
      </c>
      <c r="E156" s="19" t="s">
        <v>386</v>
      </c>
      <c r="F156" s="21" t="s">
        <v>112</v>
      </c>
      <c r="G156" s="21"/>
      <c r="H156" s="22"/>
      <c r="I156" s="21"/>
      <c r="J156" s="21"/>
      <c r="K156" s="19"/>
    </row>
    <row r="157" customFormat="false" ht="23.85" hidden="false" customHeight="false" outlineLevel="0" collapsed="false">
      <c r="A157" s="19" t="s">
        <v>81</v>
      </c>
      <c r="B157" s="23" t="s">
        <v>49</v>
      </c>
      <c r="C157" s="21" t="n">
        <v>6</v>
      </c>
      <c r="D157" s="19" t="s">
        <v>387</v>
      </c>
      <c r="E157" s="19" t="s">
        <v>358</v>
      </c>
      <c r="F157" s="21" t="s">
        <v>112</v>
      </c>
      <c r="G157" s="21"/>
      <c r="H157" s="22"/>
      <c r="I157" s="21"/>
      <c r="J157" s="21"/>
      <c r="K157" s="19"/>
    </row>
    <row r="158" customFormat="false" ht="23.85" hidden="false" customHeight="false" outlineLevel="0" collapsed="false">
      <c r="A158" s="19" t="s">
        <v>81</v>
      </c>
      <c r="B158" s="23" t="s">
        <v>49</v>
      </c>
      <c r="C158" s="21" t="n">
        <v>7</v>
      </c>
      <c r="D158" s="19" t="s">
        <v>388</v>
      </c>
      <c r="E158" s="19" t="s">
        <v>360</v>
      </c>
      <c r="F158" s="21" t="s">
        <v>112</v>
      </c>
      <c r="G158" s="21"/>
      <c r="H158" s="22"/>
      <c r="I158" s="21"/>
      <c r="J158" s="21"/>
      <c r="K158" s="19"/>
    </row>
    <row r="159" customFormat="false" ht="23.85" hidden="false" customHeight="false" outlineLevel="0" collapsed="false">
      <c r="A159" s="19" t="s">
        <v>81</v>
      </c>
      <c r="B159" s="23" t="s">
        <v>49</v>
      </c>
      <c r="C159" s="21" t="n">
        <v>8</v>
      </c>
      <c r="D159" s="19" t="s">
        <v>389</v>
      </c>
      <c r="E159" s="19" t="s">
        <v>358</v>
      </c>
      <c r="F159" s="21" t="s">
        <v>112</v>
      </c>
      <c r="G159" s="21"/>
      <c r="H159" s="22"/>
      <c r="I159" s="21"/>
      <c r="J159" s="21"/>
      <c r="K159" s="19"/>
    </row>
    <row r="160" customFormat="false" ht="23.85" hidden="false" customHeight="false" outlineLevel="0" collapsed="false">
      <c r="A160" s="19" t="s">
        <v>81</v>
      </c>
      <c r="B160" s="23" t="s">
        <v>49</v>
      </c>
      <c r="C160" s="21" t="n">
        <v>9</v>
      </c>
      <c r="D160" s="19" t="s">
        <v>390</v>
      </c>
      <c r="E160" s="19" t="s">
        <v>391</v>
      </c>
      <c r="F160" s="21" t="s">
        <v>112</v>
      </c>
      <c r="G160" s="21"/>
      <c r="H160" s="22"/>
      <c r="I160" s="21"/>
      <c r="J160" s="21"/>
      <c r="K160" s="19"/>
    </row>
    <row r="161" customFormat="false" ht="23.85" hidden="false" customHeight="false" outlineLevel="0" collapsed="false">
      <c r="A161" s="19" t="s">
        <v>81</v>
      </c>
      <c r="B161" s="23" t="s">
        <v>49</v>
      </c>
      <c r="C161" s="21" t="n">
        <v>10</v>
      </c>
      <c r="D161" s="19" t="s">
        <v>392</v>
      </c>
      <c r="E161" s="19" t="s">
        <v>393</v>
      </c>
      <c r="F161" s="21" t="s">
        <v>112</v>
      </c>
      <c r="G161" s="21"/>
      <c r="H161" s="22"/>
      <c r="I161" s="21"/>
      <c r="J161" s="21"/>
      <c r="K161" s="19"/>
    </row>
    <row r="162" customFormat="false" ht="15" hidden="false" customHeight="false" outlineLevel="0" collapsed="false">
      <c r="A162" s="19" t="s">
        <v>84</v>
      </c>
      <c r="B162" s="24" t="s">
        <v>85</v>
      </c>
      <c r="C162" s="21" t="n">
        <v>1</v>
      </c>
      <c r="D162" s="19" t="s">
        <v>394</v>
      </c>
      <c r="E162" s="19" t="s">
        <v>395</v>
      </c>
      <c r="F162" s="21" t="s">
        <v>112</v>
      </c>
      <c r="G162" s="21"/>
      <c r="H162" s="22"/>
      <c r="I162" s="21"/>
      <c r="J162" s="21"/>
      <c r="K162" s="19"/>
    </row>
    <row r="163" customFormat="false" ht="23.85" hidden="false" customHeight="false" outlineLevel="0" collapsed="false">
      <c r="A163" s="19" t="s">
        <v>84</v>
      </c>
      <c r="B163" s="24" t="s">
        <v>85</v>
      </c>
      <c r="C163" s="21" t="n">
        <v>2</v>
      </c>
      <c r="D163" s="19" t="s">
        <v>396</v>
      </c>
      <c r="E163" s="19" t="s">
        <v>397</v>
      </c>
      <c r="F163" s="21" t="s">
        <v>112</v>
      </c>
      <c r="G163" s="21"/>
      <c r="H163" s="22"/>
      <c r="I163" s="21"/>
      <c r="J163" s="21"/>
      <c r="K163" s="19"/>
    </row>
    <row r="164" customFormat="false" ht="15" hidden="false" customHeight="false" outlineLevel="0" collapsed="false">
      <c r="A164" s="19" t="s">
        <v>84</v>
      </c>
      <c r="B164" s="24" t="s">
        <v>85</v>
      </c>
      <c r="C164" s="21" t="n">
        <v>3</v>
      </c>
      <c r="D164" s="19" t="s">
        <v>398</v>
      </c>
      <c r="E164" s="19" t="s">
        <v>399</v>
      </c>
      <c r="F164" s="21" t="s">
        <v>112</v>
      </c>
      <c r="G164" s="21"/>
      <c r="H164" s="22"/>
      <c r="I164" s="21"/>
      <c r="J164" s="21"/>
      <c r="K164" s="19"/>
    </row>
    <row r="165" customFormat="false" ht="23.85" hidden="false" customHeight="false" outlineLevel="0" collapsed="false">
      <c r="A165" s="19" t="s">
        <v>84</v>
      </c>
      <c r="B165" s="24" t="s">
        <v>85</v>
      </c>
      <c r="C165" s="21" t="n">
        <v>4</v>
      </c>
      <c r="D165" s="19" t="s">
        <v>400</v>
      </c>
      <c r="E165" s="19" t="s">
        <v>401</v>
      </c>
      <c r="F165" s="21" t="s">
        <v>112</v>
      </c>
      <c r="G165" s="21"/>
      <c r="H165" s="22"/>
      <c r="I165" s="21"/>
      <c r="J165" s="21"/>
      <c r="K165" s="19"/>
    </row>
    <row r="166" customFormat="false" ht="23.85" hidden="false" customHeight="false" outlineLevel="0" collapsed="false">
      <c r="A166" s="19" t="s">
        <v>84</v>
      </c>
      <c r="B166" s="24" t="s">
        <v>85</v>
      </c>
      <c r="C166" s="21" t="n">
        <v>5</v>
      </c>
      <c r="D166" s="19" t="s">
        <v>402</v>
      </c>
      <c r="E166" s="19" t="s">
        <v>395</v>
      </c>
      <c r="F166" s="21" t="s">
        <v>112</v>
      </c>
      <c r="G166" s="21"/>
      <c r="H166" s="22"/>
      <c r="I166" s="21"/>
      <c r="J166" s="21"/>
      <c r="K166" s="19"/>
    </row>
    <row r="167" customFormat="false" ht="15" hidden="false" customHeight="false" outlineLevel="0" collapsed="false">
      <c r="A167" s="19" t="s">
        <v>84</v>
      </c>
      <c r="B167" s="24" t="s">
        <v>85</v>
      </c>
      <c r="C167" s="21" t="n">
        <v>6</v>
      </c>
      <c r="D167" s="19" t="s">
        <v>403</v>
      </c>
      <c r="E167" s="19" t="s">
        <v>404</v>
      </c>
      <c r="F167" s="21" t="s">
        <v>112</v>
      </c>
      <c r="G167" s="21"/>
      <c r="H167" s="22"/>
      <c r="I167" s="21"/>
      <c r="J167" s="21"/>
      <c r="K167" s="19"/>
    </row>
    <row r="168" customFormat="false" ht="15" hidden="false" customHeight="false" outlineLevel="0" collapsed="false">
      <c r="A168" s="19" t="s">
        <v>84</v>
      </c>
      <c r="B168" s="24" t="s">
        <v>85</v>
      </c>
      <c r="C168" s="21" t="n">
        <v>7</v>
      </c>
      <c r="D168" s="19" t="s">
        <v>405</v>
      </c>
      <c r="E168" s="19" t="s">
        <v>328</v>
      </c>
      <c r="F168" s="21" t="s">
        <v>112</v>
      </c>
      <c r="G168" s="21"/>
      <c r="H168" s="22"/>
      <c r="I168" s="21"/>
      <c r="J168" s="21"/>
      <c r="K168" s="19"/>
    </row>
    <row r="169" customFormat="false" ht="15" hidden="false" customHeight="false" outlineLevel="0" collapsed="false">
      <c r="A169" s="19" t="s">
        <v>84</v>
      </c>
      <c r="B169" s="24" t="s">
        <v>85</v>
      </c>
      <c r="C169" s="21" t="n">
        <v>8</v>
      </c>
      <c r="D169" s="19" t="s">
        <v>406</v>
      </c>
      <c r="E169" s="19" t="s">
        <v>407</v>
      </c>
      <c r="F169" s="21" t="s">
        <v>112</v>
      </c>
      <c r="G169" s="21"/>
      <c r="H169" s="22"/>
      <c r="I169" s="21"/>
      <c r="J169" s="21"/>
      <c r="K169" s="19"/>
    </row>
    <row r="170" customFormat="false" ht="15" hidden="false" customHeight="false" outlineLevel="0" collapsed="false">
      <c r="A170" s="19" t="s">
        <v>84</v>
      </c>
      <c r="B170" s="24" t="s">
        <v>85</v>
      </c>
      <c r="C170" s="21" t="n">
        <v>9</v>
      </c>
      <c r="D170" s="19" t="s">
        <v>408</v>
      </c>
      <c r="E170" s="19" t="s">
        <v>276</v>
      </c>
      <c r="F170" s="21" t="s">
        <v>112</v>
      </c>
      <c r="G170" s="21"/>
      <c r="H170" s="22"/>
      <c r="I170" s="21"/>
      <c r="J170" s="21"/>
      <c r="K170" s="19"/>
    </row>
    <row r="171" customFormat="false" ht="23.85" hidden="false" customHeight="false" outlineLevel="0" collapsed="false">
      <c r="A171" s="19" t="s">
        <v>84</v>
      </c>
      <c r="B171" s="24" t="s">
        <v>85</v>
      </c>
      <c r="C171" s="21" t="n">
        <v>10</v>
      </c>
      <c r="D171" s="19" t="s">
        <v>409</v>
      </c>
      <c r="E171" s="19" t="s">
        <v>410</v>
      </c>
      <c r="F171" s="21" t="s">
        <v>112</v>
      </c>
      <c r="G171" s="21"/>
      <c r="H171" s="22"/>
      <c r="I171" s="21"/>
      <c r="J171" s="21"/>
      <c r="K171" s="19"/>
    </row>
    <row r="172" customFormat="false" ht="23.85" hidden="false" customHeight="false" outlineLevel="0" collapsed="false">
      <c r="A172" s="19" t="s">
        <v>88</v>
      </c>
      <c r="B172" s="24" t="s">
        <v>85</v>
      </c>
      <c r="C172" s="21" t="n">
        <v>1</v>
      </c>
      <c r="D172" s="19" t="s">
        <v>411</v>
      </c>
      <c r="E172" s="19" t="s">
        <v>412</v>
      </c>
      <c r="F172" s="21" t="s">
        <v>112</v>
      </c>
      <c r="G172" s="21"/>
      <c r="H172" s="22"/>
      <c r="I172" s="21"/>
      <c r="J172" s="21"/>
      <c r="K172" s="19"/>
    </row>
    <row r="173" customFormat="false" ht="23.85" hidden="false" customHeight="false" outlineLevel="0" collapsed="false">
      <c r="A173" s="19" t="s">
        <v>88</v>
      </c>
      <c r="B173" s="24" t="s">
        <v>85</v>
      </c>
      <c r="C173" s="21" t="n">
        <v>2</v>
      </c>
      <c r="D173" s="19" t="s">
        <v>413</v>
      </c>
      <c r="E173" s="19" t="s">
        <v>259</v>
      </c>
      <c r="F173" s="21" t="s">
        <v>112</v>
      </c>
      <c r="G173" s="21"/>
      <c r="H173" s="22"/>
      <c r="I173" s="21"/>
      <c r="J173" s="21"/>
      <c r="K173" s="19"/>
    </row>
    <row r="174" customFormat="false" ht="15" hidden="false" customHeight="false" outlineLevel="0" collapsed="false">
      <c r="A174" s="19" t="s">
        <v>88</v>
      </c>
      <c r="B174" s="24" t="s">
        <v>85</v>
      </c>
      <c r="C174" s="21" t="n">
        <v>3</v>
      </c>
      <c r="D174" s="19" t="s">
        <v>414</v>
      </c>
      <c r="E174" s="19" t="s">
        <v>415</v>
      </c>
      <c r="F174" s="21" t="s">
        <v>112</v>
      </c>
      <c r="G174" s="21"/>
      <c r="H174" s="22"/>
      <c r="I174" s="21"/>
      <c r="J174" s="21"/>
      <c r="K174" s="19"/>
    </row>
    <row r="175" customFormat="false" ht="23.85" hidden="false" customHeight="false" outlineLevel="0" collapsed="false">
      <c r="A175" s="19" t="s">
        <v>88</v>
      </c>
      <c r="B175" s="24" t="s">
        <v>85</v>
      </c>
      <c r="C175" s="21" t="n">
        <v>4</v>
      </c>
      <c r="D175" s="19" t="s">
        <v>416</v>
      </c>
      <c r="E175" s="19" t="s">
        <v>417</v>
      </c>
      <c r="F175" s="21" t="s">
        <v>112</v>
      </c>
      <c r="G175" s="21"/>
      <c r="H175" s="22"/>
      <c r="I175" s="21"/>
      <c r="J175" s="21"/>
      <c r="K175" s="19"/>
    </row>
    <row r="176" customFormat="false" ht="15" hidden="false" customHeight="false" outlineLevel="0" collapsed="false">
      <c r="A176" s="19" t="s">
        <v>88</v>
      </c>
      <c r="B176" s="24" t="s">
        <v>85</v>
      </c>
      <c r="C176" s="21" t="n">
        <v>5</v>
      </c>
      <c r="D176" s="19" t="s">
        <v>418</v>
      </c>
      <c r="E176" s="19" t="s">
        <v>328</v>
      </c>
      <c r="F176" s="21" t="s">
        <v>112</v>
      </c>
      <c r="G176" s="21"/>
      <c r="H176" s="22"/>
      <c r="I176" s="21"/>
      <c r="J176" s="21"/>
      <c r="K176" s="19"/>
    </row>
    <row r="177" customFormat="false" ht="15" hidden="false" customHeight="false" outlineLevel="0" collapsed="false">
      <c r="A177" s="19" t="s">
        <v>88</v>
      </c>
      <c r="B177" s="24" t="s">
        <v>85</v>
      </c>
      <c r="C177" s="21" t="n">
        <v>6</v>
      </c>
      <c r="D177" s="19" t="s">
        <v>419</v>
      </c>
      <c r="E177" s="19" t="s">
        <v>420</v>
      </c>
      <c r="F177" s="21" t="s">
        <v>112</v>
      </c>
      <c r="G177" s="21"/>
      <c r="H177" s="22"/>
      <c r="I177" s="21"/>
      <c r="J177" s="21"/>
      <c r="K177" s="19"/>
    </row>
    <row r="178" customFormat="false" ht="15" hidden="false" customHeight="false" outlineLevel="0" collapsed="false">
      <c r="A178" s="19" t="s">
        <v>88</v>
      </c>
      <c r="B178" s="24" t="s">
        <v>85</v>
      </c>
      <c r="C178" s="21" t="n">
        <v>7</v>
      </c>
      <c r="D178" s="19" t="s">
        <v>421</v>
      </c>
      <c r="E178" s="19" t="s">
        <v>270</v>
      </c>
      <c r="F178" s="21" t="s">
        <v>112</v>
      </c>
      <c r="G178" s="21"/>
      <c r="H178" s="22"/>
      <c r="I178" s="21"/>
      <c r="J178" s="21"/>
      <c r="K178" s="19"/>
    </row>
    <row r="179" customFormat="false" ht="23.85" hidden="false" customHeight="false" outlineLevel="0" collapsed="false">
      <c r="A179" s="19" t="s">
        <v>88</v>
      </c>
      <c r="B179" s="24" t="s">
        <v>85</v>
      </c>
      <c r="C179" s="21" t="n">
        <v>8</v>
      </c>
      <c r="D179" s="19" t="s">
        <v>422</v>
      </c>
      <c r="E179" s="19" t="s">
        <v>423</v>
      </c>
      <c r="F179" s="21" t="s">
        <v>112</v>
      </c>
      <c r="G179" s="21"/>
      <c r="H179" s="22"/>
      <c r="I179" s="21"/>
      <c r="J179" s="21"/>
      <c r="K179" s="19"/>
    </row>
    <row r="180" customFormat="false" ht="15" hidden="false" customHeight="false" outlineLevel="0" collapsed="false">
      <c r="A180" s="19" t="s">
        <v>88</v>
      </c>
      <c r="B180" s="24" t="s">
        <v>85</v>
      </c>
      <c r="C180" s="21" t="n">
        <v>9</v>
      </c>
      <c r="D180" s="19" t="s">
        <v>424</v>
      </c>
      <c r="E180" s="19" t="s">
        <v>425</v>
      </c>
      <c r="F180" s="21" t="s">
        <v>112</v>
      </c>
      <c r="G180" s="21"/>
      <c r="H180" s="22"/>
      <c r="I180" s="21"/>
      <c r="J180" s="21"/>
      <c r="K180" s="19"/>
    </row>
    <row r="181" customFormat="false" ht="23.85" hidden="false" customHeight="false" outlineLevel="0" collapsed="false">
      <c r="A181" s="19" t="s">
        <v>88</v>
      </c>
      <c r="B181" s="24" t="s">
        <v>85</v>
      </c>
      <c r="C181" s="21" t="n">
        <v>10</v>
      </c>
      <c r="D181" s="19" t="s">
        <v>426</v>
      </c>
      <c r="E181" s="19" t="s">
        <v>235</v>
      </c>
      <c r="F181" s="21" t="s">
        <v>112</v>
      </c>
      <c r="G181" s="21"/>
      <c r="H181" s="22"/>
      <c r="I181" s="21"/>
      <c r="J181" s="21"/>
      <c r="K181" s="19"/>
    </row>
    <row r="182" customFormat="false" ht="23.85" hidden="false" customHeight="false" outlineLevel="0" collapsed="false">
      <c r="A182" s="19" t="s">
        <v>92</v>
      </c>
      <c r="B182" s="24" t="s">
        <v>85</v>
      </c>
      <c r="C182" s="21" t="n">
        <v>1</v>
      </c>
      <c r="D182" s="19" t="s">
        <v>427</v>
      </c>
      <c r="E182" s="19" t="s">
        <v>428</v>
      </c>
      <c r="F182" s="21" t="s">
        <v>112</v>
      </c>
      <c r="G182" s="21"/>
      <c r="H182" s="22"/>
      <c r="I182" s="21"/>
      <c r="J182" s="21"/>
      <c r="K182" s="19"/>
    </row>
    <row r="183" customFormat="false" ht="23.85" hidden="false" customHeight="false" outlineLevel="0" collapsed="false">
      <c r="A183" s="19" t="s">
        <v>92</v>
      </c>
      <c r="B183" s="24" t="s">
        <v>85</v>
      </c>
      <c r="C183" s="21" t="n">
        <v>2</v>
      </c>
      <c r="D183" s="19" t="s">
        <v>429</v>
      </c>
      <c r="E183" s="19" t="s">
        <v>257</v>
      </c>
      <c r="F183" s="21" t="s">
        <v>112</v>
      </c>
      <c r="G183" s="21"/>
      <c r="H183" s="22"/>
      <c r="I183" s="21"/>
      <c r="J183" s="21"/>
      <c r="K183" s="19"/>
    </row>
    <row r="184" customFormat="false" ht="23.85" hidden="false" customHeight="false" outlineLevel="0" collapsed="false">
      <c r="A184" s="19" t="s">
        <v>92</v>
      </c>
      <c r="B184" s="24" t="s">
        <v>85</v>
      </c>
      <c r="C184" s="21" t="n">
        <v>3</v>
      </c>
      <c r="D184" s="19" t="s">
        <v>430</v>
      </c>
      <c r="E184" s="19" t="s">
        <v>431</v>
      </c>
      <c r="F184" s="21" t="s">
        <v>112</v>
      </c>
      <c r="G184" s="21"/>
      <c r="H184" s="22"/>
      <c r="I184" s="21"/>
      <c r="J184" s="21"/>
      <c r="K184" s="19"/>
    </row>
    <row r="185" customFormat="false" ht="23.85" hidden="false" customHeight="false" outlineLevel="0" collapsed="false">
      <c r="A185" s="19" t="s">
        <v>92</v>
      </c>
      <c r="B185" s="24" t="s">
        <v>85</v>
      </c>
      <c r="C185" s="21" t="n">
        <v>4</v>
      </c>
      <c r="D185" s="19" t="s">
        <v>432</v>
      </c>
      <c r="E185" s="19" t="s">
        <v>235</v>
      </c>
      <c r="F185" s="21" t="s">
        <v>112</v>
      </c>
      <c r="G185" s="21"/>
      <c r="H185" s="22"/>
      <c r="I185" s="21"/>
      <c r="J185" s="21"/>
      <c r="K185" s="19"/>
    </row>
    <row r="186" customFormat="false" ht="23.85" hidden="false" customHeight="false" outlineLevel="0" collapsed="false">
      <c r="A186" s="19" t="s">
        <v>92</v>
      </c>
      <c r="B186" s="24" t="s">
        <v>85</v>
      </c>
      <c r="C186" s="21" t="n">
        <v>5</v>
      </c>
      <c r="D186" s="19" t="s">
        <v>433</v>
      </c>
      <c r="E186" s="19" t="s">
        <v>257</v>
      </c>
      <c r="F186" s="21" t="s">
        <v>112</v>
      </c>
      <c r="G186" s="21"/>
      <c r="H186" s="22"/>
      <c r="I186" s="21"/>
      <c r="J186" s="21"/>
      <c r="K186" s="19"/>
    </row>
    <row r="187" customFormat="false" ht="23.85" hidden="false" customHeight="false" outlineLevel="0" collapsed="false">
      <c r="A187" s="19" t="s">
        <v>92</v>
      </c>
      <c r="B187" s="24" t="s">
        <v>85</v>
      </c>
      <c r="C187" s="21" t="n">
        <v>6</v>
      </c>
      <c r="D187" s="19" t="s">
        <v>434</v>
      </c>
      <c r="E187" s="19" t="s">
        <v>435</v>
      </c>
      <c r="F187" s="21" t="s">
        <v>112</v>
      </c>
      <c r="G187" s="21"/>
      <c r="H187" s="22"/>
      <c r="I187" s="21"/>
      <c r="J187" s="21"/>
      <c r="K187" s="19"/>
    </row>
    <row r="188" customFormat="false" ht="23.85" hidden="false" customHeight="false" outlineLevel="0" collapsed="false">
      <c r="A188" s="19" t="s">
        <v>92</v>
      </c>
      <c r="B188" s="24" t="s">
        <v>85</v>
      </c>
      <c r="C188" s="21" t="n">
        <v>7</v>
      </c>
      <c r="D188" s="19" t="s">
        <v>436</v>
      </c>
      <c r="E188" s="19" t="s">
        <v>437</v>
      </c>
      <c r="F188" s="21" t="s">
        <v>112</v>
      </c>
      <c r="G188" s="21"/>
      <c r="H188" s="22"/>
      <c r="I188" s="21"/>
      <c r="J188" s="21"/>
      <c r="K188" s="19"/>
    </row>
    <row r="189" customFormat="false" ht="15" hidden="false" customHeight="false" outlineLevel="0" collapsed="false">
      <c r="A189" s="19" t="s">
        <v>92</v>
      </c>
      <c r="B189" s="24" t="s">
        <v>85</v>
      </c>
      <c r="C189" s="21" t="n">
        <v>8</v>
      </c>
      <c r="D189" s="19" t="s">
        <v>438</v>
      </c>
      <c r="E189" s="19" t="s">
        <v>439</v>
      </c>
      <c r="F189" s="21" t="s">
        <v>112</v>
      </c>
      <c r="G189" s="21"/>
      <c r="H189" s="22"/>
      <c r="I189" s="21"/>
      <c r="J189" s="21"/>
      <c r="K189" s="19"/>
    </row>
    <row r="190" customFormat="false" ht="23.85" hidden="false" customHeight="false" outlineLevel="0" collapsed="false">
      <c r="A190" s="19" t="s">
        <v>92</v>
      </c>
      <c r="B190" s="24" t="s">
        <v>85</v>
      </c>
      <c r="C190" s="21" t="n">
        <v>9</v>
      </c>
      <c r="D190" s="19" t="s">
        <v>440</v>
      </c>
      <c r="E190" s="19" t="s">
        <v>295</v>
      </c>
      <c r="F190" s="21" t="s">
        <v>112</v>
      </c>
      <c r="G190" s="21"/>
      <c r="H190" s="22"/>
      <c r="I190" s="21"/>
      <c r="J190" s="21"/>
      <c r="K190" s="19"/>
    </row>
    <row r="191" customFormat="false" ht="23.85" hidden="false" customHeight="false" outlineLevel="0" collapsed="false">
      <c r="A191" s="19" t="s">
        <v>92</v>
      </c>
      <c r="B191" s="24" t="s">
        <v>85</v>
      </c>
      <c r="C191" s="21" t="n">
        <v>10</v>
      </c>
      <c r="D191" s="19" t="s">
        <v>441</v>
      </c>
      <c r="E191" s="19" t="s">
        <v>442</v>
      </c>
      <c r="F191" s="21" t="s">
        <v>112</v>
      </c>
      <c r="G191" s="21"/>
      <c r="H191" s="22"/>
      <c r="I191" s="21"/>
      <c r="J191" s="21"/>
      <c r="K191" s="19"/>
    </row>
    <row r="192" customFormat="false" ht="23.85" hidden="false" customHeight="false" outlineLevel="0" collapsed="false">
      <c r="A192" s="19" t="s">
        <v>95</v>
      </c>
      <c r="B192" s="24" t="s">
        <v>85</v>
      </c>
      <c r="C192" s="21" t="n">
        <v>1</v>
      </c>
      <c r="D192" s="19" t="s">
        <v>443</v>
      </c>
      <c r="E192" s="19" t="s">
        <v>444</v>
      </c>
      <c r="F192" s="21" t="s">
        <v>112</v>
      </c>
      <c r="G192" s="21"/>
      <c r="H192" s="22"/>
      <c r="I192" s="21"/>
      <c r="J192" s="21"/>
      <c r="K192" s="19"/>
    </row>
    <row r="193" customFormat="false" ht="23.85" hidden="false" customHeight="false" outlineLevel="0" collapsed="false">
      <c r="A193" s="19" t="s">
        <v>95</v>
      </c>
      <c r="B193" s="24" t="s">
        <v>85</v>
      </c>
      <c r="C193" s="21" t="n">
        <v>2</v>
      </c>
      <c r="D193" s="19" t="s">
        <v>445</v>
      </c>
      <c r="E193" s="19" t="s">
        <v>446</v>
      </c>
      <c r="F193" s="21" t="s">
        <v>112</v>
      </c>
      <c r="G193" s="21"/>
      <c r="H193" s="22"/>
      <c r="I193" s="21"/>
      <c r="J193" s="21"/>
      <c r="K193" s="19"/>
    </row>
    <row r="194" customFormat="false" ht="23.85" hidden="false" customHeight="false" outlineLevel="0" collapsed="false">
      <c r="A194" s="19" t="s">
        <v>95</v>
      </c>
      <c r="B194" s="24" t="s">
        <v>85</v>
      </c>
      <c r="C194" s="21" t="n">
        <v>3</v>
      </c>
      <c r="D194" s="19" t="s">
        <v>447</v>
      </c>
      <c r="E194" s="19" t="s">
        <v>448</v>
      </c>
      <c r="F194" s="21" t="s">
        <v>112</v>
      </c>
      <c r="G194" s="21"/>
      <c r="H194" s="22"/>
      <c r="I194" s="21"/>
      <c r="J194" s="21"/>
      <c r="K194" s="19"/>
    </row>
    <row r="195" customFormat="false" ht="23.85" hidden="false" customHeight="false" outlineLevel="0" collapsed="false">
      <c r="A195" s="19" t="s">
        <v>95</v>
      </c>
      <c r="B195" s="24" t="s">
        <v>85</v>
      </c>
      <c r="C195" s="21" t="n">
        <v>4</v>
      </c>
      <c r="D195" s="19" t="s">
        <v>449</v>
      </c>
      <c r="E195" s="19" t="s">
        <v>257</v>
      </c>
      <c r="F195" s="21" t="s">
        <v>112</v>
      </c>
      <c r="G195" s="21"/>
      <c r="H195" s="22"/>
      <c r="I195" s="21"/>
      <c r="J195" s="21"/>
      <c r="K195" s="19"/>
    </row>
    <row r="196" customFormat="false" ht="23.85" hidden="false" customHeight="false" outlineLevel="0" collapsed="false">
      <c r="A196" s="19" t="s">
        <v>95</v>
      </c>
      <c r="B196" s="24" t="s">
        <v>85</v>
      </c>
      <c r="C196" s="21" t="n">
        <v>5</v>
      </c>
      <c r="D196" s="19" t="s">
        <v>450</v>
      </c>
      <c r="E196" s="19" t="s">
        <v>386</v>
      </c>
      <c r="F196" s="21" t="s">
        <v>112</v>
      </c>
      <c r="G196" s="21"/>
      <c r="H196" s="22"/>
      <c r="I196" s="21"/>
      <c r="J196" s="21"/>
      <c r="K196" s="19"/>
    </row>
    <row r="197" customFormat="false" ht="23.85" hidden="false" customHeight="false" outlineLevel="0" collapsed="false">
      <c r="A197" s="19" t="s">
        <v>95</v>
      </c>
      <c r="B197" s="24" t="s">
        <v>85</v>
      </c>
      <c r="C197" s="21" t="n">
        <v>6</v>
      </c>
      <c r="D197" s="19" t="s">
        <v>451</v>
      </c>
      <c r="E197" s="19" t="s">
        <v>257</v>
      </c>
      <c r="F197" s="21" t="s">
        <v>112</v>
      </c>
      <c r="G197" s="21"/>
      <c r="H197" s="22"/>
      <c r="I197" s="21"/>
      <c r="J197" s="21"/>
      <c r="K197" s="19"/>
    </row>
    <row r="198" customFormat="false" ht="23.85" hidden="false" customHeight="false" outlineLevel="0" collapsed="false">
      <c r="A198" s="19" t="s">
        <v>95</v>
      </c>
      <c r="B198" s="24" t="s">
        <v>85</v>
      </c>
      <c r="C198" s="21" t="n">
        <v>7</v>
      </c>
      <c r="D198" s="19" t="s">
        <v>452</v>
      </c>
      <c r="E198" s="19" t="s">
        <v>453</v>
      </c>
      <c r="F198" s="21" t="s">
        <v>112</v>
      </c>
      <c r="G198" s="21"/>
      <c r="H198" s="22"/>
      <c r="I198" s="21"/>
      <c r="J198" s="21"/>
      <c r="K198" s="19"/>
    </row>
    <row r="199" customFormat="false" ht="23.85" hidden="false" customHeight="false" outlineLevel="0" collapsed="false">
      <c r="A199" s="19" t="s">
        <v>95</v>
      </c>
      <c r="B199" s="24" t="s">
        <v>85</v>
      </c>
      <c r="C199" s="21" t="n">
        <v>8</v>
      </c>
      <c r="D199" s="19" t="s">
        <v>454</v>
      </c>
      <c r="E199" s="19" t="s">
        <v>455</v>
      </c>
      <c r="F199" s="21" t="s">
        <v>112</v>
      </c>
      <c r="G199" s="21"/>
      <c r="H199" s="22"/>
      <c r="I199" s="21"/>
      <c r="J199" s="21"/>
      <c r="K199" s="19"/>
    </row>
    <row r="200" customFormat="false" ht="23.85" hidden="false" customHeight="false" outlineLevel="0" collapsed="false">
      <c r="A200" s="19" t="s">
        <v>95</v>
      </c>
      <c r="B200" s="24" t="s">
        <v>85</v>
      </c>
      <c r="C200" s="21" t="n">
        <v>9</v>
      </c>
      <c r="D200" s="19" t="s">
        <v>456</v>
      </c>
      <c r="E200" s="19" t="s">
        <v>235</v>
      </c>
      <c r="F200" s="21" t="s">
        <v>112</v>
      </c>
      <c r="G200" s="21"/>
      <c r="H200" s="22"/>
      <c r="I200" s="21"/>
      <c r="J200" s="21"/>
      <c r="K200" s="19"/>
    </row>
    <row r="201" customFormat="false" ht="23.85" hidden="false" customHeight="false" outlineLevel="0" collapsed="false">
      <c r="A201" s="19" t="s">
        <v>95</v>
      </c>
      <c r="B201" s="24" t="s">
        <v>85</v>
      </c>
      <c r="C201" s="21" t="n">
        <v>10</v>
      </c>
      <c r="D201" s="19" t="s">
        <v>457</v>
      </c>
      <c r="E201" s="19" t="s">
        <v>257</v>
      </c>
      <c r="F201" s="21" t="s">
        <v>112</v>
      </c>
      <c r="G201" s="21"/>
      <c r="H201" s="22"/>
      <c r="I201" s="21"/>
      <c r="J201" s="21"/>
      <c r="K201" s="19"/>
    </row>
  </sheetData>
  <conditionalFormatting sqref="F2:F201">
    <cfRule type="cellIs" priority="2" operator="equal" aboveAverage="0" equalAverage="0" bottom="0" percent="0" rank="0" text="" dxfId="0">
      <formula>"Idea"</formula>
    </cfRule>
    <cfRule type="cellIs" priority="3" operator="equal" aboveAverage="0" equalAverage="0" bottom="0" percent="0" rank="0" text="" dxfId="1">
      <formula>"Researching"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"Editing"</formula>
    </cfRule>
    <cfRule type="cellIs" priority="6" operator="equal" aboveAverage="0" equalAverage="0" bottom="0" percent="0" rank="0" text="" dxfId="4">
      <formula>"Cover"</formula>
    </cfRule>
    <cfRule type="cellIs" priority="7" operator="equal" aboveAverage="0" equalAverage="0" bottom="0" percent="0" rank="0" text="" dxfId="5">
      <formula>"Formatting"</formula>
    </cfRule>
    <cfRule type="cellIs" priority="8" operator="equal" aboveAverage="0" equalAverage="0" bottom="0" percent="0" rank="0" text="" dxfId="6">
      <formula>"Published"</formula>
    </cfRule>
  </conditionalFormatting>
  <dataValidations count="2">
    <dataValidation allowBlank="false" errorStyle="stop" operator="between" prompt="Idea → Researching → Drafting → Editing → Cover → Formatting → Published" showDropDown="false" showErrorMessage="false" showInputMessage="false" sqref="F2:F201" type="list">
      <formula1>"Idea,Researching,Drafting,Editing,Cover,Formatting,Published"</formula1>
      <formula2>0</formula2>
    </dataValidation>
    <dataValidation allowBlank="true" errorStyle="stop" operator="between" showDropDown="false" showErrorMessage="false" showInputMessage="false" sqref="G2:G201" type="list">
      <formula1>"eBook,Paperback,Hardcover,eBook + Paperback"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458</v>
      </c>
      <c r="B1" s="1"/>
    </row>
    <row r="3" customFormat="false" ht="24" hidden="false" customHeight="true" outlineLevel="0" collapsed="false">
      <c r="A3" s="25" t="s">
        <v>459</v>
      </c>
      <c r="B3" s="25"/>
    </row>
    <row r="4" customFormat="false" ht="30" hidden="false" customHeight="true" outlineLevel="0" collapsed="false">
      <c r="A4" s="26" t="s">
        <v>460</v>
      </c>
      <c r="B4" s="27" t="s">
        <v>461</v>
      </c>
    </row>
    <row r="5" customFormat="false" ht="30" hidden="false" customHeight="true" outlineLevel="0" collapsed="false">
      <c r="A5" s="26" t="s">
        <v>462</v>
      </c>
      <c r="B5" s="27" t="s">
        <v>463</v>
      </c>
    </row>
    <row r="6" customFormat="false" ht="15.75" hidden="false" customHeight="true" outlineLevel="0" collapsed="false">
      <c r="A6" s="26" t="s">
        <v>464</v>
      </c>
      <c r="B6" s="27" t="s">
        <v>465</v>
      </c>
    </row>
    <row r="7" customFormat="false" ht="15.75" hidden="false" customHeight="true" outlineLevel="0" collapsed="false">
      <c r="A7" s="26" t="s">
        <v>466</v>
      </c>
      <c r="B7" s="27" t="s">
        <v>467</v>
      </c>
    </row>
    <row r="9" customFormat="false" ht="24" hidden="false" customHeight="true" outlineLevel="0" collapsed="false">
      <c r="A9" s="25" t="s">
        <v>468</v>
      </c>
      <c r="B9" s="25"/>
    </row>
    <row r="10" customFormat="false" ht="15.75" hidden="false" customHeight="true" outlineLevel="0" collapsed="false">
      <c r="A10" s="26" t="s">
        <v>469</v>
      </c>
      <c r="B10" s="27" t="s">
        <v>470</v>
      </c>
    </row>
    <row r="11" customFormat="false" ht="15.75" hidden="false" customHeight="true" outlineLevel="0" collapsed="false">
      <c r="A11" s="26" t="s">
        <v>471</v>
      </c>
      <c r="B11" s="27" t="s">
        <v>472</v>
      </c>
    </row>
    <row r="12" customFormat="false" ht="30" hidden="false" customHeight="true" outlineLevel="0" collapsed="false">
      <c r="A12" s="26" t="s">
        <v>473</v>
      </c>
      <c r="B12" s="27" t="s">
        <v>474</v>
      </c>
    </row>
    <row r="13" customFormat="false" ht="15.75" hidden="false" customHeight="true" outlineLevel="0" collapsed="false">
      <c r="A13" s="26" t="s">
        <v>475</v>
      </c>
      <c r="B13" s="27" t="s">
        <v>476</v>
      </c>
    </row>
    <row r="14" customFormat="false" ht="30" hidden="false" customHeight="true" outlineLevel="0" collapsed="false">
      <c r="A14" s="26" t="s">
        <v>477</v>
      </c>
      <c r="B14" s="27" t="s">
        <v>478</v>
      </c>
    </row>
    <row r="15" customFormat="false" ht="15.75" hidden="false" customHeight="true" outlineLevel="0" collapsed="false">
      <c r="A15" s="26" t="s">
        <v>479</v>
      </c>
      <c r="B15" s="27" t="s">
        <v>480</v>
      </c>
    </row>
    <row r="16" customFormat="false" ht="15.75" hidden="false" customHeight="true" outlineLevel="0" collapsed="false">
      <c r="A16" s="26" t="s">
        <v>481</v>
      </c>
      <c r="B16" s="27" t="s">
        <v>482</v>
      </c>
    </row>
    <row r="17" customFormat="false" ht="15.75" hidden="false" customHeight="true" outlineLevel="0" collapsed="false">
      <c r="A17" s="26" t="s">
        <v>483</v>
      </c>
      <c r="B17" s="27" t="s">
        <v>484</v>
      </c>
    </row>
    <row r="18" customFormat="false" ht="15.75" hidden="false" customHeight="true" outlineLevel="0" collapsed="false">
      <c r="A18" s="26" t="s">
        <v>485</v>
      </c>
      <c r="B18" s="27" t="s">
        <v>486</v>
      </c>
    </row>
    <row r="20" customFormat="false" ht="24" hidden="false" customHeight="true" outlineLevel="0" collapsed="false">
      <c r="A20" s="25" t="s">
        <v>487</v>
      </c>
      <c r="B20" s="25"/>
    </row>
    <row r="21" customFormat="false" ht="30" hidden="false" customHeight="true" outlineLevel="0" collapsed="false">
      <c r="A21" s="26" t="s">
        <v>488</v>
      </c>
      <c r="B21" s="27" t="s">
        <v>489</v>
      </c>
    </row>
    <row r="22" customFormat="false" ht="30" hidden="false" customHeight="true" outlineLevel="0" collapsed="false">
      <c r="A22" s="26" t="s">
        <v>490</v>
      </c>
      <c r="B22" s="27" t="s">
        <v>491</v>
      </c>
    </row>
    <row r="23" customFormat="false" ht="15.75" hidden="false" customHeight="true" outlineLevel="0" collapsed="false">
      <c r="A23" s="26" t="s">
        <v>492</v>
      </c>
      <c r="B23" s="27" t="s">
        <v>493</v>
      </c>
    </row>
    <row r="24" customFormat="false" ht="30" hidden="false" customHeight="true" outlineLevel="0" collapsed="false">
      <c r="A24" s="26" t="s">
        <v>494</v>
      </c>
      <c r="B24" s="27" t="s">
        <v>495</v>
      </c>
    </row>
    <row r="25" customFormat="false" ht="15.75" hidden="false" customHeight="true" outlineLevel="0" collapsed="false">
      <c r="A25" s="26" t="s">
        <v>496</v>
      </c>
      <c r="B25" s="27" t="s">
        <v>497</v>
      </c>
    </row>
    <row r="26" customFormat="false" ht="30" hidden="false" customHeight="true" outlineLevel="0" collapsed="false">
      <c r="A26" s="26" t="s">
        <v>498</v>
      </c>
      <c r="B26" s="27" t="s">
        <v>499</v>
      </c>
    </row>
    <row r="27" customFormat="false" ht="30" hidden="false" customHeight="true" outlineLevel="0" collapsed="false">
      <c r="A27" s="26" t="s">
        <v>500</v>
      </c>
      <c r="B27" s="27" t="s">
        <v>501</v>
      </c>
    </row>
    <row r="29" customFormat="false" ht="24" hidden="false" customHeight="true" outlineLevel="0" collapsed="false">
      <c r="A29" s="25" t="s">
        <v>502</v>
      </c>
      <c r="B29" s="25"/>
    </row>
    <row r="30" customFormat="false" ht="30" hidden="false" customHeight="true" outlineLevel="0" collapsed="false">
      <c r="A30" s="26" t="s">
        <v>503</v>
      </c>
      <c r="B30" s="27" t="s">
        <v>504</v>
      </c>
    </row>
    <row r="31" customFormat="false" ht="30" hidden="false" customHeight="true" outlineLevel="0" collapsed="false">
      <c r="A31" s="26" t="s">
        <v>505</v>
      </c>
      <c r="B31" s="27" t="s">
        <v>506</v>
      </c>
    </row>
    <row r="32" customFormat="false" ht="30" hidden="false" customHeight="true" outlineLevel="0" collapsed="false">
      <c r="A32" s="26" t="s">
        <v>507</v>
      </c>
      <c r="B32" s="27" t="s">
        <v>508</v>
      </c>
    </row>
    <row r="33" customFormat="false" ht="30" hidden="false" customHeight="true" outlineLevel="0" collapsed="false">
      <c r="A33" s="26" t="s">
        <v>509</v>
      </c>
      <c r="B33" s="27" t="s">
        <v>510</v>
      </c>
    </row>
    <row r="34" customFormat="false" ht="30" hidden="false" customHeight="true" outlineLevel="0" collapsed="false">
      <c r="A34" s="26" t="s">
        <v>511</v>
      </c>
      <c r="B34" s="27" t="s">
        <v>512</v>
      </c>
    </row>
    <row r="36" customFormat="false" ht="24" hidden="false" customHeight="true" outlineLevel="0" collapsed="false">
      <c r="A36" s="25" t="s">
        <v>513</v>
      </c>
      <c r="B36" s="25"/>
    </row>
    <row r="37" customFormat="false" ht="15.75" hidden="false" customHeight="true" outlineLevel="0" collapsed="false">
      <c r="A37" s="26" t="s">
        <v>514</v>
      </c>
      <c r="B37" s="27" t="s">
        <v>515</v>
      </c>
    </row>
    <row r="38" customFormat="false" ht="15.75" hidden="false" customHeight="true" outlineLevel="0" collapsed="false">
      <c r="A38" s="26" t="s">
        <v>516</v>
      </c>
      <c r="B38" s="27" t="s">
        <v>517</v>
      </c>
    </row>
    <row r="39" customFormat="false" ht="15.75" hidden="false" customHeight="true" outlineLevel="0" collapsed="false">
      <c r="A39" s="26" t="s">
        <v>518</v>
      </c>
      <c r="B39" s="27" t="s">
        <v>519</v>
      </c>
    </row>
    <row r="40" customFormat="false" ht="30" hidden="false" customHeight="true" outlineLevel="0" collapsed="false">
      <c r="A40" s="26" t="s">
        <v>520</v>
      </c>
      <c r="B40" s="27" t="s">
        <v>521</v>
      </c>
    </row>
    <row r="42" customFormat="false" ht="24" hidden="false" customHeight="true" outlineLevel="0" collapsed="false">
      <c r="A42" s="25" t="s">
        <v>522</v>
      </c>
      <c r="B42" s="25"/>
    </row>
    <row r="43" customFormat="false" ht="60" hidden="false" customHeight="true" outlineLevel="0" collapsed="false">
      <c r="A43" s="26" t="s">
        <v>523</v>
      </c>
      <c r="B43" s="27" t="s">
        <v>524</v>
      </c>
    </row>
  </sheetData>
  <mergeCells count="7">
    <mergeCell ref="A1:B1"/>
    <mergeCell ref="A3:B3"/>
    <mergeCell ref="A9:B9"/>
    <mergeCell ref="A20:B20"/>
    <mergeCell ref="A29:B29"/>
    <mergeCell ref="A36:B36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2026-08-07T23:01:03Z</dcterms:created>
  <dc:creator>openpyxl</dc:creator>
  <dc:description/>
  <dc:language>en-US</dc:language>
  <cp:lastModifiedBy/>
  <dcterms:modified xsi:type="dcterms:W3CDTF">2026-08-07T23:01:03Z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